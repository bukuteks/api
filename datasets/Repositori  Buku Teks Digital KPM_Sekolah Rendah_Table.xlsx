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<sst xmlns="http://schemas.openxmlformats.org/spreadsheetml/2006/main" count="2251" uniqueCount="858">
  <si>
    <t>Buku</t>
  </si>
  <si>
    <t>Tahun</t>
  </si>
  <si>
    <t>Tajuk</t>
  </si>
  <si>
    <t>Bahan</t>
  </si>
  <si>
    <t>Silibus</t>
  </si>
  <si>
    <t>Muat Turun</t>
  </si>
  <si>
    <t>https://drive.google.com/file/d/1njOnOF_70drdoAtamfXmZnFYxHwRUxl_/view?usp=drivesdk</t>
  </si>
  <si>
    <t>Tahun 1</t>
  </si>
  <si>
    <t>BAHASA ARAB T1 - Indeks</t>
  </si>
  <si>
    <t>Buku Teks</t>
  </si>
  <si>
    <t>SK</t>
  </si>
  <si>
    <t>https://drive.google.com/file/d/1Do-_i8psSp1BxGJ17kLE3qBHnIHy0alA/view?usp=drivesdk</t>
  </si>
  <si>
    <t>BAHASA ARAB T1 BA</t>
  </si>
  <si>
    <t>Buku Aktiviti</t>
  </si>
  <si>
    <t>https://drive.google.com/file/d/11nPIwTFeRe-PvcyXRxiSn6aNSfpyzoLp/view?usp=drivesdk</t>
  </si>
  <si>
    <t>BAHASA CINA T1 SJKC - Indeks</t>
  </si>
  <si>
    <t>SJKC</t>
  </si>
  <si>
    <t>https://drive.google.com/file/d/1iQIXblsPg04mXnQwmFrLESNng6Kk5zlE/view?usp=drivesdk</t>
  </si>
  <si>
    <t>BAHASA CINA T1 SJKC BA - JLD1</t>
  </si>
  <si>
    <t>https://drive.google.com/file/d/1RVKgeunwlAczdH-iLa6wUib2DS4IOmgN/view?usp=drivesdk</t>
  </si>
  <si>
    <t>BAHASA CINA T1 SJKC BA - JLD2</t>
  </si>
  <si>
    <t>https://drive.google.com/file/d/1sIhQLwAhLR0rKixOtXtD7_ynD0nWW165/view?usp=drive_link</t>
  </si>
  <si>
    <t>BAHASA CINA T1 SJKC BA JLD1 - INDEKS</t>
  </si>
  <si>
    <t>https://drive.google.com/file/d/1HFzMscvfN_lrvffOAQrBHQbgMlpMxLb7/view?usp=drive_link</t>
  </si>
  <si>
    <t>BAHASA CINA T1 SJKC BA JLD2 - INDEKS</t>
  </si>
  <si>
    <t>https://drive.google.com/file/d/1y2IMaXOdPCaqsR3QV3B72xbRP1v4PV-o/view?usp=drivesdk</t>
  </si>
  <si>
    <t>BAHASA CINA T1 SK - Indeks</t>
  </si>
  <si>
    <t>https://drive.google.com/file/d/1lz2May0N8zJWIPdZgvO4GCOIpKQo1idl/view?usp=drivesdk</t>
  </si>
  <si>
    <t>BAHASA CINA T1 SK BA</t>
  </si>
  <si>
    <t>https://drive.google.com/file/d/1P14P2BggpVc2rbw_3dtEzUele1T8bb8Z/view?usp=drive_link</t>
  </si>
  <si>
    <t>BAHASA CINA T1 SK BA - INDEKS</t>
  </si>
  <si>
    <t>https://drive.google.com/file/d/1Vk6izR6i_UYWlOyrZ-GQio9aXnXrLyGw/view?usp=drivesdk</t>
  </si>
  <si>
    <t>BAHASA IBAN T1 - Indeks</t>
  </si>
  <si>
    <t>https://drive.google.com/file/d/1KP8h7YbCcJMyTxDcBlJ2TMNVUkAS3Kci/view?usp=drivesdk</t>
  </si>
  <si>
    <t>BAHASA IBAN T1 BA</t>
  </si>
  <si>
    <t>https://drive.google.com/file/d/1ywrO_dhyVCxwJSVhaRAx_k0fF5tpy44W/view?usp=drivesdk</t>
  </si>
  <si>
    <t>BAHASA KADAZANDUSUN T1 - Indeks</t>
  </si>
  <si>
    <t>https://drive.google.com/file/d/1UvME6fFil7G31_e7MCy9TzKgv7fG1N9N/view?usp=drivesdk</t>
  </si>
  <si>
    <t>BAHASA KADAZANDUSUN T1 BA</t>
  </si>
  <si>
    <t>https://drive.google.com/file/d/1kT93mgdfaNo52wjUWnDhehy0OoO0VRwq/view?usp=drivesdk</t>
  </si>
  <si>
    <t>BAHASA MELAYU T1 SJK</t>
  </si>
  <si>
    <t>SJKT</t>
  </si>
  <si>
    <t>https://drive.google.com/file/d/1pPhGVSZXAVF84vtawTCLSWSc74EEnH6o/view?usp=drivesdk</t>
  </si>
  <si>
    <t>https://drive.google.com/file/d/1q-i25u7D5q2dJVCgJM_GC-T5w4x_gd0c/view?usp=drivesdk</t>
  </si>
  <si>
    <t>BAHASA MELAYU T1 SJK - BA JLD1</t>
  </si>
  <si>
    <t>https://drive.google.com/file/d/1brzThDJhwOp29sy2KaYAzJ0_nWmB1sl-/view?usp=drivesdk</t>
  </si>
  <si>
    <t>https://drive.google.com/file/d/1yheLOMFwJ_d3YHxdMdNdZ9pRs4KtVEj1/view?usp=drivesdk</t>
  </si>
  <si>
    <t>BAHASA MELAYU T1 SJK - BA JLD2</t>
  </si>
  <si>
    <t>https://drive.google.com/file/d/1HbNBlzg3ugePI9d5-JzG4BRTCgZ3S9cz/view?usp=drivesdk</t>
  </si>
  <si>
    <t>https://drive.google.com/file/d/1xNgfwxGh-_jfaU7uXDf68B2ToXO8v2MG/view?usp=drivesdk</t>
  </si>
  <si>
    <t>BAHASA MELAYU T1 SK - Indeks</t>
  </si>
  <si>
    <t>https://drive.google.com/file/d/129_bK-My6p1JRaVqfHVBddbQD_I_n83g/view?usp=drivesdk</t>
  </si>
  <si>
    <t>BAHASA MELAYU T1 SK BA - JLD 1</t>
  </si>
  <si>
    <t>https://drive.google.com/file/d/1GFZOrgMbkB_QOclTiaUdOlPXWdB7YEYX/view?usp=drivesdk</t>
  </si>
  <si>
    <t>BAHASA MELAYU T1 SK BA - JLD 2</t>
  </si>
  <si>
    <t>https://drive.google.com/file/d/1z6Kgf3a0tHZbeghSHxq89cwnG0vuzy5f/view?usp=drivesdk</t>
  </si>
  <si>
    <t>BAHASA SEMAI T1 - Indeks</t>
  </si>
  <si>
    <t>https://drive.google.com/file/d/1b0UUor3i2Ldtcsj7ajdczFpTf5grHXig/view?usp=drivesdk</t>
  </si>
  <si>
    <t>BAHASA SEMAI T1 BA</t>
  </si>
  <si>
    <t>https://drive.google.com/file/d/12oyxjquaA6uJ7cb6o-Wvn4WpQzetT8KM/view?usp=share_link</t>
  </si>
  <si>
    <t>BAHASA TAMIL T1 SJKT - BA JLD1</t>
  </si>
  <si>
    <t>https://drive.google.com/file/d/1RRMng4FmJXG3T5JeL_oBr0-47AvVc8l0/view?usp=drivesdk</t>
  </si>
  <si>
    <t>BAHASA TAMIL T1 SJKT - BA JLD2</t>
  </si>
  <si>
    <t>https://drive.google.com/file/d/1W_Pwwdvy4xUpmCurIRAsglQIGOsggfq7/view?usp=drivesdk</t>
  </si>
  <si>
    <t>BAHASA TAMIL T1 SJKT - Indeks</t>
  </si>
  <si>
    <t>https://drive.google.com/file/d/1Aj0ub0zktGGOlCGBB7XCDmbwdzwQlcdZ/view?usp=drivesdk</t>
  </si>
  <si>
    <t>BAHASA TAMIL T1 SK - Indeks</t>
  </si>
  <si>
    <t>https://drive.google.com/file/d/13IER7_Qw-aPmPFnKcJTdpOa3kixOH-vr/view?usp=drivesdk</t>
  </si>
  <si>
    <t>BAHASA TAMIL T1 SK BA</t>
  </si>
  <si>
    <t>https://drive.google.com/file/d/1ZRyk-AwIL8LtGEh0hYvhi1pXDoxCztd-/view?usp=drivesdk</t>
  </si>
  <si>
    <t>BUKU REKOD PENCAPAIAN MURID</t>
  </si>
  <si>
    <t>https://drive.google.com/file/d/1kzgiNbiC3Obt2wDRXpalTgT_5iaxNvTt/view?usp=drivesdk</t>
  </si>
  <si>
    <t>MATEMATIK T1 SJKC - JLD1 - Indeks</t>
  </si>
  <si>
    <t>https://drive.google.com/file/d/1zlP0A3SiAjp2IM3egHmlJck5G4eKTMlJ/view?usp=drivesdk</t>
  </si>
  <si>
    <t>MATEMATIK T1 SJKC - JLD2 - Indeks</t>
  </si>
  <si>
    <t>https://drive.google.com/file/d/1jL4S79KnTNIcM8Hs2QcFUaB48yoE3w5O/view?usp=drivesdk</t>
  </si>
  <si>
    <t>MATEMATIK T1 SJKC BA - JLD1</t>
  </si>
  <si>
    <t>https://drive.google.com/file/d/1FtBKFv3vlRZzK5DxHKbvzZ_s-KxdosEE/view?usp=drivesdk</t>
  </si>
  <si>
    <t>MATEMATIK T1 SJKC BA - JLD2</t>
  </si>
  <si>
    <t>https://drive.google.com/file/d/1dAQew9Q1Lp4XANfci--sLq45gOJSvjDX/view?usp=drivesdk</t>
  </si>
  <si>
    <t>MATEMATIK T1 SJKT - JLD1 - Indeks</t>
  </si>
  <si>
    <t>https://drive.google.com/file/d/1nJs4lGLmfiB4GW_png2yS_yN8zz2uT4_/view?usp=drivesdk</t>
  </si>
  <si>
    <t>MATEMATIK T1 SJKT - JLD2 - Indeks</t>
  </si>
  <si>
    <t>https://drive.google.com/file/d/1jn7GY0BC7rcUJ3zBCFHowFTg8oagTGN-/view?usp=drivesdk</t>
  </si>
  <si>
    <t>MATEMATIK T1 SK - JLD1 - Indeks</t>
  </si>
  <si>
    <t>https://drive.google.com/file/d/1t0aBITQx1_FrBuu1jyVKcwYDCnMQpzX6/view?usp=drivesdk</t>
  </si>
  <si>
    <t>MATEMATIK T1 SK - JLD2 - Indeks</t>
  </si>
  <si>
    <t>https://drive.google.com/file/d/1qKJUn_RFshqtzQ1RSlnbECwSUa4GrMTX/view?usp=drivesdk</t>
  </si>
  <si>
    <t>MATEMATIK T1 SK BA - JLD1</t>
  </si>
  <si>
    <t>https://drive.google.com/file/d/14cUGDrWDhnWpAlVk4SC4m6W_6rLXkFdD/view?usp=drivesdk</t>
  </si>
  <si>
    <t>MATEMATIK T1 SK BA - JLD2</t>
  </si>
  <si>
    <t>https://drive.google.com/file/d/18uQq9O_VGVJRoQ7TLBr7jhAATLJiPOY-/view?usp=drivesdk</t>
  </si>
  <si>
    <t>MATHEMATICS Y1 - PART 1 - Indeks</t>
  </si>
  <si>
    <t>DLP</t>
  </si>
  <si>
    <t>https://drive.google.com/file/d/13qUwwLxJkp0nd5ReqmE_iQ64gPkNRjwJ/view?usp=drivesdk</t>
  </si>
  <si>
    <t>MATHEMATICS Y1 - PART 2 - Indeks</t>
  </si>
  <si>
    <t>https://drive.google.com/file/d/1o73kkN--cHPVR8iO_YskwxA4JkeLEJzV/view?usp=drivesdk</t>
  </si>
  <si>
    <t>MATHEMATICS Y1 AB - PART 1</t>
  </si>
  <si>
    <t>https://drive.google.com/file/d/1fa_0d-kp16mYrRX1dzkHnROo_P8zXUHD/view?usp=drivesdk</t>
  </si>
  <si>
    <t>MATHEMATICS Y1 AB - PART 2</t>
  </si>
  <si>
    <t>https://drive.google.com/file/d/1-5yR8EsEOBRjFZMjZxgzDNszO93Wb48J/view?usp=drivesdk</t>
  </si>
  <si>
    <t>PENDIDIKAN ISLAM T1 - Indeks</t>
  </si>
  <si>
    <t>https://drive.google.com/file/d/1QC51SGkthgpHCnPKurkquUpmrxz6IFv5/view?usp=drivesdk</t>
  </si>
  <si>
    <t>PENDIDIKAN ISLAM T1 BA</t>
  </si>
  <si>
    <t>https://drive.google.com/file/d/1Agx67y0ffvYUVEbNmnHlfNI9x93tfi7U/view?usp=drivesdk</t>
  </si>
  <si>
    <t>PENDIDIKAN JASMANI DAN PENDIDIKAN KESIHATAN T1 SJKC - Indeks</t>
  </si>
  <si>
    <t>https://drive.google.com/file/d/1a2Gzey7zQ5x-GV4UvKa-bh21b1sjnZ8a/view?usp=drivesdk</t>
  </si>
  <si>
    <t>PENDIDIKAN JASMANI DAN PENDIDIKAN KESIHATAN T1 SJKT - Indeks</t>
  </si>
  <si>
    <t>https://drive.google.com/file/d/1NmC1H2G6eiR03eliFpuzq8xokIjGGLZ3/view?usp=drivesdk</t>
  </si>
  <si>
    <t>PENDIDIKAN JASMANI DAN PENDIDIKAN KESIHATAN T1 SK - Indeks</t>
  </si>
  <si>
    <t>https://drive.google.com/file/d/1k0WwGL-lFMDafNGvxjBGANwGPdpqO7nn/view?usp=drivesdk</t>
  </si>
  <si>
    <t>PENDIDIKAN KESENIAN T1 SJKC - Indeks</t>
  </si>
  <si>
    <t>https://drive.google.com/file/d/1CjoC67IT2-ojwYggyft68ai0Qn1mus0c/view?usp=drivesdk</t>
  </si>
  <si>
    <t>PENDIDIKAN KESENIAN T1 SJKT - part 1 - Indeks</t>
  </si>
  <si>
    <t>https://drive.google.com/file/d/1gLlRpZqBW_aLfKDOYWTg1fLLer3IMMGa/view?usp=drivesdk</t>
  </si>
  <si>
    <t>PENDIDIKAN KESENIAN T1 SJKT - part 2</t>
  </si>
  <si>
    <t>https://drive.google.com/file/d/11D7cZZAEXVDgcDTGNU3QHlM8oJk90AAl/view?usp=drivesdk</t>
  </si>
  <si>
    <t>PENDIDIKAN KESENIAN T1 SK - Indeks</t>
  </si>
  <si>
    <t>https://drive.google.com/file/d/1jKV4PeiJUL_66hkrXdM8ER9xGEsJIbUM/view?usp=drivesdk</t>
  </si>
  <si>
    <t>PENDIDIKAN MORAL T1 SJKC - Indeks</t>
  </si>
  <si>
    <t>https://drive.google.com/file/d/1jhggq0TTcajtdfDglJU_yO_MXMVVeXpu/view?usp=drivesdk</t>
  </si>
  <si>
    <t>PENDIDIKAN MORAL T1 SJKT - Indeks</t>
  </si>
  <si>
    <t>https://drive.google.com/file/d/1OZPZZ-y6mcIccogwvEeT3c0kcGICbu5d/view?usp=drivesdk</t>
  </si>
  <si>
    <t>PENDIDIKAN MORAL T1 SK - Indeks</t>
  </si>
  <si>
    <t>https://drive.google.com/file/d/1K14DyS6Rc_w5hxnC69Gwx0rljqDbkf4x/view?usp=drivesdk</t>
  </si>
  <si>
    <t>SAINS T1 SJKC - Indeks</t>
  </si>
  <si>
    <t>https://drive.google.com/file/d/1MOTXCsrarvlF8xmCCnLoCbFIc6Df0YW4/view?usp=drivesdk</t>
  </si>
  <si>
    <t>SAINS T1 SJKC BA</t>
  </si>
  <si>
    <t>https://drive.google.com/file/d/1r5xsYl4kyX45uh6IenSpFjyxuNlYPAeT/view?usp=drivesdk</t>
  </si>
  <si>
    <t>SAINS T1 SJKT - Indeks</t>
  </si>
  <si>
    <t>https://drive.google.com/file/d/1pKVimAzufqbaUktAkm2VeHqLWFLWfOuy/view?usp=drivesdk</t>
  </si>
  <si>
    <t>SAINS T1 SK - Indeks</t>
  </si>
  <si>
    <t>https://drive.google.com/file/d/1-8k4k19HPszHL-7yXvx6tH6E0TDTGr1Y/view?usp=drivesdk</t>
  </si>
  <si>
    <t>SAINS T1 SK BA - Indeks</t>
  </si>
  <si>
    <t>https://drive.google.com/file/d/1gFgswwLexwkPNZToiQ6HV521RJ90NKI7/view?usp=drivesdk</t>
  </si>
  <si>
    <t>SCIENCE Y1 - Indeks</t>
  </si>
  <si>
    <t>https://drive.google.com/file/d/1aWYZIe0RI-bD6fxr4Szl2-gpb97uOKNL/view?usp=drivesdk</t>
  </si>
  <si>
    <t>SCIENCE Y1 AB - part 1</t>
  </si>
  <si>
    <t>https://drive.google.com/file/d/1F1kLjkzElyFXmseJtCZuayrCT5S-D3oI/view?usp=drivesdk</t>
  </si>
  <si>
    <t>SCIENCE Y1 AB - part 2</t>
  </si>
  <si>
    <t>https://drive.google.com/file/d/143LPV0eHqSQYOYcRDq4NuJSDDIZJlHZj/view?usp=drivesdk</t>
  </si>
  <si>
    <t>SCIENCE Y1 AB - part 3</t>
  </si>
  <si>
    <t>https://drive.google.com/file/d/1_kpe_zpCj2n3ce19ujJ6zyB9jLSVDgd-/view?usp=drive_link</t>
  </si>
  <si>
    <t>SCIENCE Y1 BA - Indeks</t>
  </si>
  <si>
    <t>https://drive.google.com/file/d/1KYZezZsbde0GlewpOFJZsCJwb-KdnRdB/view?usp=drivesdk</t>
  </si>
  <si>
    <t>Tahun 2</t>
  </si>
  <si>
    <t>BAHASA ARAB T2 - Indeks</t>
  </si>
  <si>
    <t>https://drive.google.com/file/d/1FrZdNzAXBhT590whSYqNwKI44J_MQLfy/view?usp=drivesdk</t>
  </si>
  <si>
    <t>BAHASA ARAB T2 BA</t>
  </si>
  <si>
    <t>https://drive.google.com/file/d/1HO2Uz3_YqK1N0QF518z3iY5ToOVBYCqr/view?usp=drivesdk</t>
  </si>
  <si>
    <t>BAHASA CINA T2 SJKC - Indeks</t>
  </si>
  <si>
    <t>https://drive.google.com/file/d/13wcoKC7GFsy2c1BJsU1u4bIDNXmdfrPl/view?usp=drivesdk</t>
  </si>
  <si>
    <t>BAHASA CINA T2 SJKC BA - JLD 1</t>
  </si>
  <si>
    <t>https://drive.google.com/file/d/1rkxuukooIkHhyq-IFsgPyH2dq_wHvtc1/view?usp=drivesdk</t>
  </si>
  <si>
    <t>BAHASA CINA T2 SJKC BA - JLD 2</t>
  </si>
  <si>
    <t>https://drive.google.com/file/d/1z1C50SkAGLEmhFAlzBcA18uGQszO0oGD/view?usp=drive_link</t>
  </si>
  <si>
    <t>BAHASA CINA T2 SJKC BA - JLD 2 INDEKS</t>
  </si>
  <si>
    <t>https://drive.google.com/file/d/1XZM-AoTnioAE82IPL1-Y3fW1x5uSfSpf/view?usp=drivesdk</t>
  </si>
  <si>
    <t>BAHASA CINA T2 SK - Indeks</t>
  </si>
  <si>
    <t>https://drive.google.com/file/d/1dXkWCVNjSzxfAzDqdizEAUfdak8iXpAc/view?usp=drivesdk</t>
  </si>
  <si>
    <t>BAHASA CINA T2 SK BA</t>
  </si>
  <si>
    <t>https://drive.google.com/file/d/1d35IZSqZFjiQ8WTNGEKkknfrOV_l_xnq/view?usp=drive_link</t>
  </si>
  <si>
    <t>BAHASA CINA T2 SK BA - INDEKS</t>
  </si>
  <si>
    <t>https://drive.google.com/file/d/12T-MO6DGf9JVX6PVQbBEo9uSNiKC9jHq/view?usp=drivesdk</t>
  </si>
  <si>
    <t>BAHASA IBAN T2</t>
  </si>
  <si>
    <t>https://drive.google.com/file/d/1fHdEkAXCEZkMsdSv-RfkTXGANmPNOiyK/view?usp=drivesdk</t>
  </si>
  <si>
    <t>BAHASA IBAN T2 BA</t>
  </si>
  <si>
    <t>https://drive.google.com/file/d/1Nlc-GY76JVjeAtiEaxzr9c-4nkLjmbe8/view?usp=drivesdk</t>
  </si>
  <si>
    <t>BAHASA KADAZANDUSUN T2 - Indeks</t>
  </si>
  <si>
    <t>https://drive.google.com/file/d/1rst4KQ0Ry6UXjJbJBTckhx1XkCoKWefI/view?usp=drivesdk</t>
  </si>
  <si>
    <t>BAHASA KADAZANDUSUN T2 BA</t>
  </si>
  <si>
    <t>https://drive.google.com/file/d/1Osj_lSSNDbGYlhWc2eyuE39w3zg-MJLz/view?usp=drivesdk</t>
  </si>
  <si>
    <t>BAHASA MELAYU SJK T2 BA JLD 1 UNIT 1 - 6 1</t>
  </si>
  <si>
    <t>https://drive.google.com/file/d/1hitLQ3EiIOc1wQAmgM6en0tXqp9W6DGD/view?usp=drivesdk</t>
  </si>
  <si>
    <t>https://drive.google.com/file/d/1Q9Pght523fetetG4M3A60OIgpim5T8jl/view?usp=drivesdk</t>
  </si>
  <si>
    <t>BAHASA MELAYU SJK T2 BA JLD 1 UNIT 7 - 12</t>
  </si>
  <si>
    <t>https://drive.google.com/file/d/1X3JSMoguTI574Lc5CSP-36fVjdX4nfWj/view?usp=drivesdk</t>
  </si>
  <si>
    <t>https://drive.google.com/file/d/1woXaNWjQLO1caxMEFYn9Z7soB6mog-qA/view?usp=drivesdk</t>
  </si>
  <si>
    <t>BAHASA MELAYU T2 SJK - 1 DRP 2</t>
  </si>
  <si>
    <t>https://drive.google.com/file/d/12oLg__DqfBuhpc-3NApkP3_yll1VERaJ/view?usp=drivesdk</t>
  </si>
  <si>
    <t>BAHASA MELAYU T2 SJK - 2 DRP 2</t>
  </si>
  <si>
    <t>https://drive.google.com/file/d/1sNUmqPDf-yE4uaBr07I7-VsoZGwX8RBc/view?usp=drivesdk</t>
  </si>
  <si>
    <t>BAHASA MELAYU T2 SJK - PART 1</t>
  </si>
  <si>
    <t>https://drive.google.com/file/d/1961kfKJVxj2zEPOl2YPDFo142SQ-0eK5/view?usp=drivesdk</t>
  </si>
  <si>
    <t>BAHASA MELAYU T2 SJK - PART 2</t>
  </si>
  <si>
    <t>https://drive.google.com/file/d/1BDKuNqM59SNNRFyVxGoJklKVfnNksqgm/view?usp=drivesdk</t>
  </si>
  <si>
    <t>BAHASA MELAYU T2 SJK - PART 3</t>
  </si>
  <si>
    <t>https://drive.google.com/file/d/1ryW7lT2lDKxbEYmbOOq6C179_W9ewHkI/view?usp=drivesdk</t>
  </si>
  <si>
    <t>BAHASA MELAYU T2 SJK BA - JLD 2</t>
  </si>
  <si>
    <t>https://drive.google.com/file/d/1aI8WrJByPz7Ucg5DgMPpI8EDkgz1olPD/view?usp=drivesdk</t>
  </si>
  <si>
    <t>https://drive.google.com/file/d/1Gu9efaTSFHgl7dxHFWQMy4KK1oXExrIQ/view?usp=drivesdk</t>
  </si>
  <si>
    <t>BAHASA MELAYU T2 SK - JLD 1 - Indeks</t>
  </si>
  <si>
    <t>https://drive.google.com/file/d/1EoaFecPhwY70AwN689CRnxeEnQrJJtrY/view?usp=drivesdk</t>
  </si>
  <si>
    <t>BAHASA MELAYU T2 SK - JLD 2 - Indeks</t>
  </si>
  <si>
    <t>https://drive.google.com/file/d/1hIVRVaz9ZTZ6yhL5-hFxzBGcfMxN3Eft/view?usp=drivesdk</t>
  </si>
  <si>
    <t>BAHASA MELAYU T2 SK BA - JLD 1</t>
  </si>
  <si>
    <t>https://drive.google.com/file/d/1reuXHOluTb7f6g5GUvQmJJHvovM_bfTl/view?usp=drivesdk</t>
  </si>
  <si>
    <t>BAHASA MELAYU T2 SK BA - JLD 2</t>
  </si>
  <si>
    <t>https://drive.google.com/file/d/1y-CTL9TTbRQPKYo0veL0TbALXFTVJcAZ/view?usp=drivesdk</t>
  </si>
  <si>
    <t>BAHASA SEMAI T2 - Indeks</t>
  </si>
  <si>
    <t>https://drive.google.com/file/d/19UI9qeaaDfhbUAr_OKSOkW-BvHjUL3qr/view?usp=drivesdk</t>
  </si>
  <si>
    <t>BAHASA SEMAI T2 BA</t>
  </si>
  <si>
    <t>https://drive.google.com/file/d/1mS71PwMNqiazi3fhjEypeMPFpX9__Pwj/view?usp=drivesdk</t>
  </si>
  <si>
    <t>BAHASA TAMIL T2 SJKT - Indeks</t>
  </si>
  <si>
    <t>https://drive.google.com/file/d/1X29pc0FUN2bn6q0nwMUT0xe9opMQSdIw/view?usp=drivesdk</t>
  </si>
  <si>
    <t>BAHASA TAMIL T2 SJKT BA - JLD 1</t>
  </si>
  <si>
    <t>https://drive.google.com/file/d/1BQY6uHHoL-2lmSTQLc4teXO42q5ilua6/view?usp=drivesdk</t>
  </si>
  <si>
    <t>BAHASA TAMIL T2 SJKT BA - JLD 2</t>
  </si>
  <si>
    <t>https://drive.google.com/file/d/12gzIVd51qDHZw9981m8JivN9upRUzR8e/view?usp=drivesdk</t>
  </si>
  <si>
    <t>BAHASA TAMIL T2 SK - Indeks</t>
  </si>
  <si>
    <t>https://drive.google.com/file/d/1vuLPU4vsUwXD6STRyBWcGoVv7-BZrHEa/view?usp=drivesdk</t>
  </si>
  <si>
    <t>BAHASA TAMIL T2 SK BA</t>
  </si>
  <si>
    <t>https://drive.google.com/file/d/1ie1VezmCj3cuj75oZ8hGZXIq_8igX_05/view?usp=drivesdk</t>
  </si>
  <si>
    <t>MATEMATIK T2 SJKC - JLD 1 - Indeks</t>
  </si>
  <si>
    <t>https://drive.google.com/file/d/1J1RunRR0-k9DY8CgiIe-W0H8KUAaqDJT/view?usp=drivesdk</t>
  </si>
  <si>
    <t>MATEMATIK T2 SJKC - JLD 2 - Indeks</t>
  </si>
  <si>
    <t>https://drive.google.com/file/d/1gN9KMzdNlFHj605AiCICapWztw9hxZlw/view?usp=drivesdk</t>
  </si>
  <si>
    <t>MATEMATIK T2 SJKC BA</t>
  </si>
  <si>
    <t>https://drive.google.com/file/d/19dajR-EdQvyJviWn6C_NStDtKpAmwhQN/view?usp=drivesdk</t>
  </si>
  <si>
    <t>MATEMATIK T2 SJKT BA</t>
  </si>
  <si>
    <t>https://drive.google.com/file/d/1SwWL4xcxQJivBP_171zGR70Pw8GhXV8E/view?usp=drivesdk</t>
  </si>
  <si>
    <t>MATEMATIK T2 SJKT JLD 1 - Indeks</t>
  </si>
  <si>
    <t>https://drive.google.com/file/d/1J4FJFmZV9l98rhPVWOoAiQ3kjpB_4wEa/view?usp=drivesdk</t>
  </si>
  <si>
    <t>MATEMATIK T2 SJKT JLD 2 - Indeks</t>
  </si>
  <si>
    <t>https://drive.google.com/file/d/14GWzw-7Qpamx1VNEp7nW6MzDsWbES97-/view?usp=drivesdk</t>
  </si>
  <si>
    <t>MATEMATIK T2 SK - JLD 1 - Indeks</t>
  </si>
  <si>
    <t>https://drive.google.com/file/d/1-kuC_C2tVYW_Wz1boPmkM0u05JEetTtN/view?usp=drivesdk</t>
  </si>
  <si>
    <t>MATEMATIK T2 SK - JLD 2 - Indeks</t>
  </si>
  <si>
    <t>https://drive.google.com/file/d/1ICf884cCtvVyG_asNAXVkpiBKgmlGrgV/view?usp=drivesdk</t>
  </si>
  <si>
    <t>MATEMATIK T2 SK BA</t>
  </si>
  <si>
    <t>https://drive.google.com/file/d/1CRl1IUjmDanQLXdR1_l0Ycuj9cEjEmYs/view?usp=drivesdk</t>
  </si>
  <si>
    <t>MATHEMATICS Y2 - PART 1 - Indeks</t>
  </si>
  <si>
    <t>https://drive.google.com/file/d/16Yij83FWAv3RjOuADVTwf4ohpP8Vmz88/view?usp=drivesdk</t>
  </si>
  <si>
    <t>MATHEMATICS Y2 - PART 2</t>
  </si>
  <si>
    <t>https://drive.google.com/file/d/1XuHTS3lNH_GZKybyQbwwuo2uYdW_z-_K/view?usp=drivesdk</t>
  </si>
  <si>
    <t>MATHEMATICS Y2 BA</t>
  </si>
  <si>
    <t>https://drive.google.com/file/d/15XlkcmNWDB6Jq4pzFi-5eTj7Hwqqbedq/view?usp=drivesdk</t>
  </si>
  <si>
    <t>PENDIDIDIKAN MORAL T2 SJKC - Indeks</t>
  </si>
  <si>
    <t>https://drive.google.com/file/d/1Bx0TxTxSznJCZ2gcRzIWMr_lnS248Rte/view?usp=drivesdk</t>
  </si>
  <si>
    <t>PENDIDIDIKAN MORAL T2 SJKT - Indeks</t>
  </si>
  <si>
    <t>https://drive.google.com/file/d/1oCQPrrL9MqMFWLdxDDMRAr2J4-9-aSfO/view?usp=drivesdk</t>
  </si>
  <si>
    <t>PENDIDIDIKAN MORAL T2 SK - 1 DRP 2 - Indeks</t>
  </si>
  <si>
    <t>https://drive.google.com/file/d/14MrwMCMdz32W45NzYu3KGqCmShJw0_8r/view?usp=drivesdk</t>
  </si>
  <si>
    <t>PENDIDIDIKAN MORAL T2 SK - 2 DRP 2</t>
  </si>
  <si>
    <t>https://drive.google.com/file/d/1x9baqVxn91q1lXATn50RiT9TJIoUPl-2/view?usp=drivesdk</t>
  </si>
  <si>
    <t>PENDIDIKAN ISLAM T2 - Indeks</t>
  </si>
  <si>
    <t>https://drive.google.com/file/d/1PJPdFNTuEJsimRX2v6CENWnOcn-8Bdbm/view?usp=drivesdk</t>
  </si>
  <si>
    <t>PENDIDIKAN ISLAM T2 BA</t>
  </si>
  <si>
    <t>https://drive.google.com/file/d/11G5qHIvdBQzBNTtS5qvK9ZN_B1wUZ151/view?usp=drivesdk</t>
  </si>
  <si>
    <t>PENDIDIKAN JASMANI DAN PENDIDIKAN KESIHATAN T2 SJKC - Indeks</t>
  </si>
  <si>
    <t>https://drive.google.com/file/d/1nw6ritzf5j9oFvU6nB8AVCfYiQyyHiM_/view?usp=drivesdk</t>
  </si>
  <si>
    <t>PENDIDIKAN JASMANI DAN PENDIDIKAN KESIHATAN T2 SJKT - Indeks</t>
  </si>
  <si>
    <t>https://drive.google.com/file/d/1TeuZwPad4s27_HPnenmkLCa3Avfgkcyr/view?usp=drivesdk</t>
  </si>
  <si>
    <t>PENDIDIKAN JASMANI DAN PENDIDIKAN KESIHATAN T2 SK - Indeks</t>
  </si>
  <si>
    <t>https://drive.google.com/file/d/1auR1jUZ5pkPFtPzIqHydQESAo_GaFVsB/view?usp=drivesdk</t>
  </si>
  <si>
    <t>PENDIDIKAN KESENIAN T2 SJKC - Indeks</t>
  </si>
  <si>
    <t>https://drive.google.com/file/d/19fv-yGBTE7Dj6hOKUUb03e21y4amomdu/view?usp=drivesdk</t>
  </si>
  <si>
    <t>PENDIDIKAN KESENIAN T2 SJKT - Indeks</t>
  </si>
  <si>
    <t>https://drive.google.com/file/d/15tsnl2uPYml9bzOZzlgg08Xx4ly4Lhux/view?usp=drivesdk</t>
  </si>
  <si>
    <t>PENDIDIKAN KESENIAN T2 SK - Indeks</t>
  </si>
  <si>
    <t>https://drive.google.com/file/d/1QldjBmFl27sDatgV_yICdXhVb8DS5JjI/view?usp=drivesdk</t>
  </si>
  <si>
    <t>SAINS T2 SJKC - Indeks</t>
  </si>
  <si>
    <t>https://drive.google.com/file/d/13e0SEjsBsCDU3-FfdkSAMuZc2wCVXF5p/view?usp=drivesdk</t>
  </si>
  <si>
    <t>SAINS T2 SJKC BA</t>
  </si>
  <si>
    <t>https://drive.google.com/file/d/1MCkI2KMCX5r4zKtrPcyRTQn2XC0Htego/view?usp=drivesdk</t>
  </si>
  <si>
    <t>SAINS T2 SJKT - Indeks</t>
  </si>
  <si>
    <t>https://drive.google.com/file/d/1iF12iukZ2NbzPzczHYokWfElGK-JCgXG/view?usp=drivesdk</t>
  </si>
  <si>
    <t>SAINS T2 SJKT BA</t>
  </si>
  <si>
    <t>https://drive.google.com/file/d/1KVUtV5mRo20x7FsrdCmPyPcu4G-PGEX7/view?usp=drivesdk</t>
  </si>
  <si>
    <t>SAINS T2 SK - Indeks</t>
  </si>
  <si>
    <t>https://drive.google.com/file/d/1Ct6iJRzY4Yy2B9j64C9vOON4sU1iFh9H/view?usp=drivesdk</t>
  </si>
  <si>
    <t>SAINS T2 SK BA - Indeks</t>
  </si>
  <si>
    <t>https://drive.google.com/file/d/1OrXJcciiP7zW2pDxLr_5EwWM17FkOBR2/view?usp=drivesdk</t>
  </si>
  <si>
    <t>SCIENCE Y2 - Indeks</t>
  </si>
  <si>
    <t>https://drive.google.com/file/d/1AK9tg3wbNxEIENw3qQ6R_Txsjyj06n3g/view?usp=drivesdk</t>
  </si>
  <si>
    <t>SCIENCE Y2 AB - Indeks</t>
  </si>
  <si>
    <t>https://drive.google.com/file/d/1KsEffFcE-SVRoqzKZStaovBhA0qth2Xo/view?usp=drivesdk</t>
  </si>
  <si>
    <t>Tahun 3</t>
  </si>
  <si>
    <t>BAHASA ARAB T3 - PART 1</t>
  </si>
  <si>
    <t>https://drive.google.com/file/d/1v-RYXm-zhcFFC6vAm6Wy1BLZkO4TLdwk/view?usp=drivesdk</t>
  </si>
  <si>
    <t>BAHASA ARAB T3 - PART 2</t>
  </si>
  <si>
    <t>https://drive.google.com/file/d/16TZ5eAUOPTdYt-JoYGDb2IsySn9KZzCw/view?usp=drivesdk</t>
  </si>
  <si>
    <t>BAHASA ARAB T3 BA</t>
  </si>
  <si>
    <t>https://drive.google.com/file/d/1V8OoLr1Sh_KHEldAA4JOnFGey2PyBf4G/view?usp=drivesdk</t>
  </si>
  <si>
    <t>BAHASA CINA T3 SJKC - Indeks</t>
  </si>
  <si>
    <t>https://drive.google.com/file/d/1syMOmeIp7Zlx_m1JK-F7vrHGvortfdVK/view?usp=drivesdk</t>
  </si>
  <si>
    <t>BAHASA CINA T3 SJKC BA JLD 1</t>
  </si>
  <si>
    <t>https://drive.google.com/file/d/15gN8beh-1EK24_n4382I4sQBAZ9ZOVdB/view?usp=drivesdk</t>
  </si>
  <si>
    <t>BAHASA CINA T3 SJKC BA JLD 2</t>
  </si>
  <si>
    <t>https://drive.google.com/file/d/1xZHWME7nD8a1Wk8kCTVL4uPpzstbkEqr/view?usp=drive_link</t>
  </si>
  <si>
    <t>BAHASA CINA T3 SJKC BA JLD1 - INDEKS</t>
  </si>
  <si>
    <t>https://drive.google.com/file/d/1J3sLgREGJPNyT7bSi4SfkhqQUGWsuNbd/view?usp=drive_link</t>
  </si>
  <si>
    <t>BAHASA CINA T3 SJKC BA JLD2 - INDEKS</t>
  </si>
  <si>
    <t>https://drive.google.com/file/d/1ILBF0NNjzJNXyBL5M-h9HmE6qH3GWKa1/view?usp=drivesdk</t>
  </si>
  <si>
    <t>BAHASA CINA T3 SK - Indeks</t>
  </si>
  <si>
    <t>https://drive.google.com/file/d/1FbBjsPwJZHURN9R1nChyL9GMpidOejAP/view?usp=drivesdk</t>
  </si>
  <si>
    <t>BAHASA CINA T3 SK BA</t>
  </si>
  <si>
    <t>https://drive.google.com/file/d/18075S0XZj11xDvfhzFVp4P-oFxeBkcjP/view?usp=drive_link</t>
  </si>
  <si>
    <t>BAHASA CINA T3 SK BA - INDEKS</t>
  </si>
  <si>
    <t>https://drive.google.com/file/d/1cs_3ocNCVgL8X9UEwR2BfDdY-sJXx05Z/view?usp=drivesdk</t>
  </si>
  <si>
    <t>BAHASA IBAN T3 - Indeks</t>
  </si>
  <si>
    <t>https://drive.google.com/file/d/19kCQc2gbCjpiZo3cUWRjEaKdzGMeextC/view?usp=drivesdk</t>
  </si>
  <si>
    <t>BAHASA IBAN T3 BA</t>
  </si>
  <si>
    <t>https://drive.google.com/file/d/10z7TZtJ0zIRWVXl1I4zQ1G_Ywt76PglN/view?usp=drivesdk</t>
  </si>
  <si>
    <t>BAHASA KADAZANDUSUN T3 - Indeks</t>
  </si>
  <si>
    <t>https://drive.google.com/file/d/1kZ5RN3e2giSzhoS0a8DKfQd10gpPPs9U/view?usp=drivesdk</t>
  </si>
  <si>
    <t>BAHASA KADAZANDUSUN T3 BA</t>
  </si>
  <si>
    <t>https://drive.google.com/file/d/1ybgrrYgFK7nlTmSjX_lnK-T611JKKMiI/view?usp=drivesdk</t>
  </si>
  <si>
    <t>BAHASA MELAYU T3 SJK - Indeks</t>
  </si>
  <si>
    <t>https://drive.google.com/file/d/1jT8o9VjHabHOLGAImsjj2t5a_uz4QJBR/view?usp=drivesdk</t>
  </si>
  <si>
    <t>BAHASA MELAYU T3 SJK BA - JILID 1</t>
  </si>
  <si>
    <t>https://drive.google.com/file/d/16KDPgduxIRN6fOonjWj8Bb-KU-LD20fw/view?usp=drivesdk</t>
  </si>
  <si>
    <t>BAHASA MELAYU T3 SJK BA - JILID 2</t>
  </si>
  <si>
    <t>https://drive.google.com/file/d/1USmR5Wg4Ch08IXTAEPhsnjOvNUCtVXBY/view?usp=drivesdk</t>
  </si>
  <si>
    <t>BAHASA MELAYU T3 SJK BA JLD1</t>
  </si>
  <si>
    <t>https://drive.google.com/file/d/1Y0iL5ucJ-x13-BKlOACa1u5S2DuDTj7l/view?usp=drivesdk</t>
  </si>
  <si>
    <t>BAHASA MELAYU T3 SJK BA JLD2</t>
  </si>
  <si>
    <t>https://drive.google.com/file/d/1iiegjAUauF1PrfM6W5KYLFeLANFJaOCl/view?usp=drivesdk</t>
  </si>
  <si>
    <t>BAHASA MELAYU T3 SK - JLD1 - 1 DRP 2 - Indeks</t>
  </si>
  <si>
    <t>https://drive.google.com/file/d/1JL9YvVrbyAPSEr0JA5_1Ti86m4iWmom3/view?usp=drivesdk</t>
  </si>
  <si>
    <t>BAHASA MELAYU T3 SK - JLD1 - 2 DRP 2 - Indeks</t>
  </si>
  <si>
    <t>https://drive.google.com/file/d/1VF7Dn8wVSe2PKMp0IIo3VrLc6RKfpD91/view?usp=drivesdk</t>
  </si>
  <si>
    <t>BAHASA MELAYU T3 SK - JLD2 - 1 DRP 2 - Indeks</t>
  </si>
  <si>
    <t>https://drive.google.com/file/d/15PWlK-ADoR8GQq6fmDOZxfPzUBc10tGx/view?usp=drivesdk</t>
  </si>
  <si>
    <t>BAHASA MELAYU T3 SK - JLD2 - 2 DRP 2 - Indeks</t>
  </si>
  <si>
    <t>https://drive.google.com/file/d/1XGU1JKfLYyF0WqhqrkYouAZqlQqQSO5Q/view?usp=drivesdk</t>
  </si>
  <si>
    <t>BAHASA MELAYU T3 SK BA - JLD1</t>
  </si>
  <si>
    <t>https://drive.google.com/file/d/1yrZ4X22k5QBbf7h4LJa3dpDbWJueJiz4/view?usp=drivesdk</t>
  </si>
  <si>
    <t>BAHASA MELAYU T3 SK BA - JLD2</t>
  </si>
  <si>
    <t>https://drive.google.com/file/d/1aY1PIZVQe4yMyZ0D75NR2FT343rBVJ-c/view?usp=drivesdk</t>
  </si>
  <si>
    <t>BAHASA SEMAI T3 - 1 DRP 2 - Indeks</t>
  </si>
  <si>
    <t>https://drive.google.com/file/d/1Op0TU8l6Feo7GjE10QMvciurtux5a4xi/view?usp=drivesdk</t>
  </si>
  <si>
    <t>BAHASA SEMAI T3 - 2 DRP 2 - Indeks</t>
  </si>
  <si>
    <t>https://drive.google.com/file/d/1k_ofpWkXgdqHRZZCA60bmJjLjwccBvLj/view?usp=drivesdk</t>
  </si>
  <si>
    <t>BAHASA SEMAI T3 BA - part 1</t>
  </si>
  <si>
    <t>https://drive.google.com/file/d/1SUYRD0chubl7Cekgowm3Q90RvOnHGfgB/view?usp=drivesdk</t>
  </si>
  <si>
    <t>BAHASA SEMAI T3 BA - part 2</t>
  </si>
  <si>
    <t>https://drive.google.com/file/d/1cmT9pHDvYfq5oZErDFcoHbvH_cJ3wc1C/view?usp=drivesdk</t>
  </si>
  <si>
    <t>BAHASA TAMIL T3 SJKT - Indeks</t>
  </si>
  <si>
    <t>https://drive.google.com/file/d/1lyH97CAFH95vUd9xaNG29Mx6JQ9jz3nT/view?usp=drivesdk</t>
  </si>
  <si>
    <t>BAHASA TAMIL T3 SJKT JILID 1 BA</t>
  </si>
  <si>
    <t>https://drive.google.com/file/d/1LlsDTSQzt0nKCOpcEQZ9voz3OrhSyoLj/view?usp=drivesdk</t>
  </si>
  <si>
    <t>BAHASA TAMIL T3 SJKT JILID 2 BA</t>
  </si>
  <si>
    <t>https://drive.google.com/file/d/1JJXywKbiBixDTUtR0FoMqUHMEpEcgEZ1/view?usp=drivesdk</t>
  </si>
  <si>
    <t>BAHASA TAMIL T3 SK - Indeks</t>
  </si>
  <si>
    <t>https://drive.google.com/file/d/1WlyFjoDTnC-ezPbZWlSYHKXkGS4m5_Vm/view?usp=drivesdk</t>
  </si>
  <si>
    <t>BAHASA TAMIL T3 SK BA.pdf</t>
  </si>
  <si>
    <t>No data</t>
  </si>
  <si>
    <t>GET SMART PLUS 3</t>
  </si>
  <si>
    <t>https://drive.google.com/file/d/1iqVIRb135yXqobxFsB66gyunqfN476Gr/view?usp=drivesdk</t>
  </si>
  <si>
    <t>MATEMATIK T3 SJKC - JLD1 - Indeks</t>
  </si>
  <si>
    <t>https://drive.google.com/file/d/1UeDmhNFsalwvgjACOYCWupSBXyPT1GFf/view?usp=drivesdk</t>
  </si>
  <si>
    <t>MATEMATIK T3 SJKC - JLD2 - Indeks</t>
  </si>
  <si>
    <t>https://drive.google.com/file/d/1GMJHhkl_iycijgdw2Ibz0e1Nnxs2B5Ae/view?usp=drivesdk</t>
  </si>
  <si>
    <t>MATEMATIK T3 SJKC BA</t>
  </si>
  <si>
    <t>https://drive.google.com/file/d/1zQiwiAMQ4SadmPXfMzOxWkNfMVaSWcsT/view?usp=drivesdk</t>
  </si>
  <si>
    <t>MATEMATIK T3 SJKT BA</t>
  </si>
  <si>
    <t>https://drive.google.com/file/d/1-8mVXI8q2ANyhYeD_CmtgrOdU3oQFTEa/view?usp=drivesdk</t>
  </si>
  <si>
    <t>MATEMATIK T3 SJKT JILID 1 - Indeks</t>
  </si>
  <si>
    <t>https://drive.google.com/file/d/1ndLPbGXkVQd42asC06WjD7Kzrfiu2Oy4/view?usp=drivesdk</t>
  </si>
  <si>
    <t>MATEMATIK T3 SJKT JILID 2 - Indeks</t>
  </si>
  <si>
    <t>https://drive.google.com/file/d/14Tgu_K_rRb9J-5JjHFlz6VjnyPYZstI0/view?usp=drivesdk</t>
  </si>
  <si>
    <t>MATEMATIK T3 SK - JLD1 - Indeks</t>
  </si>
  <si>
    <t>https://drive.google.com/file/d/1pfUJ3DQpPLdwz09GqUSWiHAp-NnTyB_X/view?usp=drivesdk</t>
  </si>
  <si>
    <t>MATEMATIK T3 SK BA</t>
  </si>
  <si>
    <t>https://drive.google.com/file/d/1m6HX5htOIB-vLyVoplbxHsBdQalWefnO/view?usp=drivesdk</t>
  </si>
  <si>
    <t>MATEMATIK T3 SK JLD 2 - PART 1 - Indeks</t>
  </si>
  <si>
    <t>https://drive.google.com/file/d/1dux9FVBeMiQ2N0vO1vkQwtW6RPENm3rA/view?usp=drivesdk</t>
  </si>
  <si>
    <t>MATEMATIK T3 SK JLD 2 - PART 2</t>
  </si>
  <si>
    <t>https://drive.google.com/file/d/156zT83ZwKyhZsd1vuV4-RgYVKGefD8T9/view?usp=drivesdk</t>
  </si>
  <si>
    <t>MATEMATIK T3 SK JLD 2 - PART 3</t>
  </si>
  <si>
    <t>https://drive.google.com/file/d/17dhWs3as91pYoBAGKcg21CVxg1MtwGW8/view?usp=drivesdk</t>
  </si>
  <si>
    <t>MATHEMATICS Y3 - PART 1 - Indeks</t>
  </si>
  <si>
    <t>https://drive.google.com/file/d/1VeyVS93IGuEtg34pew4syNrxo66cj0ws/view?usp=drivesdk</t>
  </si>
  <si>
    <t>MATHEMATICS Y3 - PART 2</t>
  </si>
  <si>
    <t>https://drive.google.com/file/d/1c4tf_TrulcgNFakT0n56C5sdMC59CXCJ/view?usp=drivesdk</t>
  </si>
  <si>
    <t>MATHEMATICS Y3 AB</t>
  </si>
  <si>
    <t>https://drive.google.com/file/d/1f2x6ujDb0GoEndETUGd-Etrz2Q5Aa1Jv/view?usp=drivesdk</t>
  </si>
  <si>
    <t>PENDIDIKAN ISLAM T3 - Indeks</t>
  </si>
  <si>
    <t>https://drive.google.com/file/d/1E9FZk-gC-9UFsqRYHYP37c7IpbYL_Woh/view?usp=drivesdk</t>
  </si>
  <si>
    <t>PENDIDIKAN ISLAM T3 BA</t>
  </si>
  <si>
    <t>https://drive.google.com/file/d/18_b9HRCMfRfKaPaYGtjjz7z8gMv8QQXh/view?usp=drivesdk</t>
  </si>
  <si>
    <t>https://drive.google.com/file/d/1N0WrKJSVKrUIftDKecKKd-DWrUYGlEXy/view?usp=drivesdk</t>
  </si>
  <si>
    <t>https://drive.google.com/file/d/1XwZRVEqAPRD5V395bE3td-wPtu0yKrKO/view?usp=drivesdk</t>
  </si>
  <si>
    <t>PENDIDIKAN JASMANI DAN PENDIDIKAN KESIHATAN T3 SJKC - Indeks</t>
  </si>
  <si>
    <t>https://drive.google.com/file/d/1lZXDnRU9ocBI2x1wjnacsR3rAjwmV44y/view?usp=drivesdk</t>
  </si>
  <si>
    <t>PENDIDIKAN JASMANI DAN PENDIDIKAN KESIHATAN T3 SJKT - Indeks</t>
  </si>
  <si>
    <t>https://drive.google.com/file/d/1vqsB_XymPuOwNj-fLs6-4ceF9N4sTcfX/view?usp=sharing</t>
  </si>
  <si>
    <t>PENDIDIKAN JASMANI DAN PENDIDIKAN KESIHATAN T3 SK</t>
  </si>
  <si>
    <t>https://drive.google.com/file/d/1FjLUB5VOtFeKGNjVm33srxAUwyZySGbF/view?usp=sharing</t>
  </si>
  <si>
    <t>PENDIDIKAN JASMANI DAN PENDIDIKAN KESIHATAN T3 SK - Indeks</t>
  </si>
  <si>
    <t>https://drive.google.com/file/d/17R9us9u9LIAomkojSVUfj9NWekqDHQVi/view?usp=drivesdk</t>
  </si>
  <si>
    <t>PENDIDIKAN KESENIAN T3 SJKC - Indeks</t>
  </si>
  <si>
    <t>https://drive.google.com/file/d/1hSV7gJoIV9eIZQFST-qgx1QWl7GQ0QG3/view?usp=drivesdk</t>
  </si>
  <si>
    <t>PENDIDIKAN KESENIAN T3 SJKT - Indeks</t>
  </si>
  <si>
    <t>https://drive.google.com/file/d/1XZfOuNkDqAMZ5t58xNpt1wFo7mPta_fq/view?usp=drivesdk</t>
  </si>
  <si>
    <t>PENDIDIKAN KESENIAN T3 SK - 1 DRP 3 - Indeks</t>
  </si>
  <si>
    <t>https://drive.google.com/file/d/1ViNynpS_v8wmriVe3Dgk03xpex0Xosqf/view?usp=drivesdk</t>
  </si>
  <si>
    <t>PENDIDIKAN KESENIAN T3 SK - 2 DRP 3 - Indeks</t>
  </si>
  <si>
    <t>https://drive.google.com/file/d/1znD8hZWTVceZAfptfd3KvgGQjn6CInu5/view?usp=drivesdk</t>
  </si>
  <si>
    <t>PENDIDIKAN KESENIAN T3 SK - 3 DRP 3 - Indeks</t>
  </si>
  <si>
    <t>https://drive.google.com/file/d/1KeCB4ZMz9FpBQDLv5wkzcXra94NkVEfM/view?usp=drivesdk</t>
  </si>
  <si>
    <t>PENDIDIKAN MORAL T3 SJKC - Indeks</t>
  </si>
  <si>
    <t>https://drive.google.com/file/d/1gUt0b4qY3swq9FDmGEAzdFijtN0d9NVh/view?usp=drivesdk</t>
  </si>
  <si>
    <t>PENDIDIKAN MORAL T3 SJKT - Indeks</t>
  </si>
  <si>
    <t>https://drive.google.com/file/d/1vZ2rUojNc4LmHoNjumF2VKzXJ1KFJNso/view?usp=drivesdk</t>
  </si>
  <si>
    <t>PENDIDIKAN MORAL T3 SK - Indeks</t>
  </si>
  <si>
    <t>https://drive.google.com/file/d/1ftS4znNKhlYswceaVCGIYIM5gxeEAD69/view?usp=drivesdk</t>
  </si>
  <si>
    <t>SAINS T3 SJKC - Indeks</t>
  </si>
  <si>
    <t>https://drive.google.com/file/d/1ASu13qr8aSAwF4DwRLAS3zQBSst7x4lO/view?usp=drivesdk</t>
  </si>
  <si>
    <t>SAINS T3 SJKC BA</t>
  </si>
  <si>
    <t>https://drive.google.com/file/d/1TJXuIaQJuNIdT-IIHWlz8NHoVdx5iRRf/view?usp=drivesdk</t>
  </si>
  <si>
    <t>SAINS T3 SJKT - Indeks</t>
  </si>
  <si>
    <t>https://drive.google.com/file/d/1CPov0YTgh4tOaA4zKw2xySa67-UJP_ak/view?usp=drivesdk</t>
  </si>
  <si>
    <t>SAINS T3 SJKT BA</t>
  </si>
  <si>
    <t>https://drive.google.com/file/d/16f2BX9YvD8PVnYY2-zxx1Us4uHdW0AVn/view?usp=drivesdk</t>
  </si>
  <si>
    <t>SAINS T3 SK - Indeks</t>
  </si>
  <si>
    <t>https://drive.google.com/file/d/1ptz6FrT2Ypg3EIHRj2cXk_kOR_Di4BI3/view?usp=drivesdk</t>
  </si>
  <si>
    <t>SAINS T3 SK BA - Indeks</t>
  </si>
  <si>
    <t>https://drive.google.com/file/d/1TLyKHYO47WWfxwZwkAUeokecW7B8TSIK/view?usp=drivesdk</t>
  </si>
  <si>
    <t>SCIENCE Y3 - Indeks</t>
  </si>
  <si>
    <t>https://drive.google.com/file/d/1QkDOSvjbdj5ZbclIHZmF78mS9DeKib21/view?usp=drivesdk</t>
  </si>
  <si>
    <t>SCIENCE Y3 AB - Indeks</t>
  </si>
  <si>
    <t>Tahun 4</t>
  </si>
  <si>
    <t>ANTHOLOGY OF POEMS FOR YEAR 4, 5 AND 6</t>
  </si>
  <si>
    <t>https://drive.google.com/file/d/17mp0xnTsEtk0jWTs3NNgBGgM2PtVpsP-/view?usp=drivesdk</t>
  </si>
  <si>
    <t>BAHASA ARAB T4</t>
  </si>
  <si>
    <t>https://drive.google.com/file/d/1YMfCNVO7cVFee0l91vUpJKnp88gDVcfo/view?usp=drivesdk</t>
  </si>
  <si>
    <t>BAHASA CINA T4 SJKC - Indeks</t>
  </si>
  <si>
    <t>https://drive.google.com/file/d/16_bm5vDe2HHTFqyoA0rVYquOprni8pZc/view?usp=drivesdk</t>
  </si>
  <si>
    <t>BAHASA CINA T4 SK - Indeks</t>
  </si>
  <si>
    <t>https://drive.google.com/file/d/1Y3cpcDT85bOxuonDKEIMYuZxG3U9Q5l7/view?usp=drivesdk</t>
  </si>
  <si>
    <t>BAHASA IBAN T4 - 1 DRP 2 - Indeks</t>
  </si>
  <si>
    <t>https://drive.google.com/file/d/1kbhQzSiSfXGI37sbyou2ZDn5ybqP7Kx9/view?usp=drivesdk</t>
  </si>
  <si>
    <t>BAHASA IBAN T4 - 2 DRP 2</t>
  </si>
  <si>
    <t>https://drive.google.com/file/d/1TxMhk3-ei6L-OKN87D6cBTwVUHuijVwg/view?usp=drivesdk</t>
  </si>
  <si>
    <t>BAHASA KADAZANDUSUN T4 - Indeks</t>
  </si>
  <si>
    <t>https://drive.google.com/file/d/1uQ8ns07A7ZcEdqLbowRO0lAVFKO3rWD8/view?usp=drivesdk</t>
  </si>
  <si>
    <t>BAHASA MELAYU T4 SJK</t>
  </si>
  <si>
    <t>https://drive.google.com/file/d/1QjqfTwVofheX36PyBLOLO2ll2MWWwQP4/view?usp=drivesdk</t>
  </si>
  <si>
    <t>https://drive.google.com/file/d/1vex1mgvMgmrp_kP65vQ8fkfSaEA2Bwns/view?usp=drivesdk</t>
  </si>
  <si>
    <t>BAHASA MELAYU T4 SK - Indeks</t>
  </si>
  <si>
    <t>https://drive.google.com/file/d/1Iwfb4zrYtUamLEtp3wiIQDzZpnXFwWgu/view?usp=drivesdk</t>
  </si>
  <si>
    <t>BAHASA SEMAI T4 - Indeks</t>
  </si>
  <si>
    <t>https://drive.google.com/file/d/1ztMec91z_Y2_YskzsTjJ0tmxIpbAob3f/view?usp=drivesdk</t>
  </si>
  <si>
    <t>BAHASA TAMIL T4 SJKT - Indeks</t>
  </si>
  <si>
    <t>https://drive.google.com/file/d/1vtZH6-uyt5qF0bEYiKjpyt8YTBwdnrmD/view?usp=drivesdk</t>
  </si>
  <si>
    <t>BAHASA TAMIL T4 SK - Indeks</t>
  </si>
  <si>
    <t>https://drive.google.com/file/d/1oOXPuTW16MKdSvCBMcLr_tVjPH2OkGw0/view?usp=drivesdk</t>
  </si>
  <si>
    <t>GET SMART PLUS 4 Y4 - PART 1 - Indeks</t>
  </si>
  <si>
    <t>https://drive.google.com/file/d/1k6MoS2y8BLFo61OkzhOMlnBubCtjtzh0/view?usp=drivesdk</t>
  </si>
  <si>
    <t>GET SMART PLUS 4 Y4 - PART 2</t>
  </si>
  <si>
    <t>https://drive.google.com/file/d/18HBJGkISRXWrdGtlZr9UriTS0Xp-48kU/view?usp=drivesdk</t>
  </si>
  <si>
    <t>GET SMART PLUS 4 Y4 - PART 3</t>
  </si>
  <si>
    <t>https://drive.google.com/file/d/107zhfRza_8fKDYjfVW3_kyhBirTtIFVA/view?usp=drivesdk</t>
  </si>
  <si>
    <t>GET SMART PLUS 4 Y4 - PART 4</t>
  </si>
  <si>
    <t>https://drive.google.com/file/d/1Flx-OyYDjIQ_tVjSpzI2sPXlsLDnXsnI/view?usp=drivesdk</t>
  </si>
  <si>
    <t>MATEMATIK T4 SJKC - Indeks</t>
  </si>
  <si>
    <t>https://drive.google.com/file/d/1sNSML2TTrF4krbHwtcNA1M1pzNLdSsQP/view?usp=drivesdk</t>
  </si>
  <si>
    <t>MATEMATIK T4 SJKT - Indeks</t>
  </si>
  <si>
    <t>https://drive.google.com/file/d/1x6R108MS6pyAs6f1XqUMyXH0wNtZ3yLt/view?usp=drivesdk</t>
  </si>
  <si>
    <t>MATEMATIK T4 SK - 1 DRP 2 - Indeks</t>
  </si>
  <si>
    <t>https://drive.google.com/file/d/1VnnrXBRwcVAi8DS66bf0iE2C0SCBRLml/view?usp=drivesdk</t>
  </si>
  <si>
    <t>MATEMATIK T4 SK - 2 DRP 2 - Indeks</t>
  </si>
  <si>
    <t>https://drive.google.com/file/d/1RZHRqMoy_sicdN13rjQAQrxIzv6bR6AB/view?usp=drivesdk</t>
  </si>
  <si>
    <t>MATHEMATICS Y4 - 1 DRP 2</t>
  </si>
  <si>
    <t>https://drive.google.com/file/d/1cUOxQjFxPGWBzg32qFQXongnhltSzfRZ/view?usp=drivesdk</t>
  </si>
  <si>
    <t>MATHEMATICS Y4 - 2 DRP 2</t>
  </si>
  <si>
    <t>https://drive.google.com/file/d/1MXnwGvlDYPId0WfXuguj7z9dj4vGEeg0/view?usp=drivesdk</t>
  </si>
  <si>
    <t>PENDIDIKAN ISLAM T4 - Indeks</t>
  </si>
  <si>
    <t>https://drive.google.com/file/d/1_foZYOwaLfxE5Pe31MS1eW8uykiTGoOl/view?usp=drivesdk</t>
  </si>
  <si>
    <t>PENDIDIKAN JASMANI DAN PENDIDIKAN KESIHATAN T4 SJKC - Indeks</t>
  </si>
  <si>
    <t>https://drive.google.com/file/d/1FddusA0x5rwBbUkL5SyxieEVCam8LpDJ/view?usp=drivesdk</t>
  </si>
  <si>
    <t>PENDIDIKAN JASMANI DAN PENDIDIKAN KESIHATAN T4 SJKT - Indeks</t>
  </si>
  <si>
    <t>https://drive.google.com/file/d/1O2RkXAkmK1zN9Re9gI6peGyyfOS-GIl2/view?usp=drivesdk</t>
  </si>
  <si>
    <t>PENDIDIKAN JASMANI DAN PENDIDIKAN KESIHATAN T4 SK - Indeks</t>
  </si>
  <si>
    <t>https://drive.google.com/file/d/1M4Za-kOgtGYl3hhUB2VK1WOutdaYOgXw/view?usp=drivesdk</t>
  </si>
  <si>
    <t>PENDIDIKAN KESENIAN T4 SJKC - Indeks</t>
  </si>
  <si>
    <t>https://drive.google.com/file/d/1vjFhSrKgt8Z2PTevyl0mgI5Sudg7c9xa/view?usp=drivesdk</t>
  </si>
  <si>
    <t>PENDIDIKAN KESENIAN T4 SJKT - Indeks</t>
  </si>
  <si>
    <t>https://drive.google.com/file/d/1pjcDuCKIByXG3dNZz7t7xK4ItxBQnCHg/view?usp=drivesdk</t>
  </si>
  <si>
    <t>PENDIDIKAN KESENIAN T4 SK - Indeks</t>
  </si>
  <si>
    <t>https://drive.google.com/file/d/140sIyB8d-nwIw9Vd6AVhc_W93mVQOHrV/view?usp=drivesdk</t>
  </si>
  <si>
    <t>PENDIDIKAN MORAL T4 SJKC - Indeks</t>
  </si>
  <si>
    <t>https://drive.google.com/file/d/1IzwDgWuD_SbU8GDm58JoSUzMP8aTa1Fv/view?usp=drivesdk</t>
  </si>
  <si>
    <t>PENDIDIKAN MORAL T4 SJKT - Indeks</t>
  </si>
  <si>
    <t>https://drive.google.com/file/d/1Iy13eSn1py7xXgvIFE2DBrGYE0CuhkCp/view?usp=drivesdk</t>
  </si>
  <si>
    <t>PENDIDIKAN MORAL T4 SK - 1 DRP 3 - Indeks</t>
  </si>
  <si>
    <t>https://drive.google.com/file/d/1Rc97SDf6Megn4CNdP-2KW8Je1NKJtQgT/view?usp=drivesdk</t>
  </si>
  <si>
    <t>PENDIDIKAN MORAL T4 SK - 2 DRP 3 - Indeks</t>
  </si>
  <si>
    <t>https://drive.google.com/file/d/1PP0TpF1abnxxKZzG3YmXfNxiWO8etCW9/view?usp=drivesdk</t>
  </si>
  <si>
    <t>PENDIDIKAN MORAL T4 SK - 3 DRP 3</t>
  </si>
  <si>
    <t>https://drive.google.com/file/d/1Hb_u4k6YvYBd3S5AN_emmmSIKd-iG0G9/view?usp=drivesdk</t>
  </si>
  <si>
    <t>REKA BENTUK DAN TEKNOLOGI T4 SJKC - Indeks</t>
  </si>
  <si>
    <t>https://drive.google.com/file/d/1HbYn7gu4TxW-IBBOwTpwEiL3qz-tXVIm/view?usp=drivesdk</t>
  </si>
  <si>
    <t>REKA BENTUK DAN TEKNOLOGI T4 SJKT - Indeks</t>
  </si>
  <si>
    <t>https://drive.google.com/file/d/1gOyASNVX6F7I0ilMitLS5A6Ue1OXAtTG/view?usp=drivesdk</t>
  </si>
  <si>
    <t>REKA BENTUK DAN TEKNOLOGI T4 SK - PART 1 - Indeks</t>
  </si>
  <si>
    <t>https://drive.google.com/file/d/1CoqCsRqDvSo3FEbahNzG2LZp0Nmz41hh/view?usp=drivesdk</t>
  </si>
  <si>
    <t>REKA BENTUK DAN TEKNOLOGI T4 SK - PART 2</t>
  </si>
  <si>
    <t>https://drive.google.com/file/d/1P-xokpVYpVyvQT-m0QB4aflrD8BN2viM/view?usp=drivesdk</t>
  </si>
  <si>
    <t>REKA BENTUK DAN TEKNOLOGI T4 SK - PART 3</t>
  </si>
  <si>
    <t>https://drive.google.com/file/d/1bS08q594bv0auSK3F1B-nJxtG4q3vR6X/view?usp=drivesdk</t>
  </si>
  <si>
    <t>REKA BENTUK DAN TEKNOLOGI T4 SK - PART 4</t>
  </si>
  <si>
    <t>https://drive.google.com/file/d/1us_J9gLCNV-U30pgopY0uYtXB5Ue4f9f/view?usp=drivesdk</t>
  </si>
  <si>
    <t>REKA BENTUK DAN TEKNOLOGI T4 SK - PART 5</t>
  </si>
  <si>
    <t>https://drive.google.com/file/d/1Dkt6-_jkF-t1ofHDJd9UtQw8RcWp3yHU/view?usp=drivesdk</t>
  </si>
  <si>
    <t>REKA BENTUK DAN TEKNOLOGI T4 SK - PART 6</t>
  </si>
  <si>
    <t>https://drive.google.com/file/d/1iDS5T07O5raR48IM4AVbx6srOspm_V1z/view?usp=drivesdk</t>
  </si>
  <si>
    <t>REKA BENTUK DAN TEKNOLOGI T4 SK - PART 7</t>
  </si>
  <si>
    <t>https://drive.google.com/file/d/18RIkk3ZSpG-Y_vw7Dmx22zXKTfngtlpv/view?usp=drivesdk</t>
  </si>
  <si>
    <t>REKA BENTUK DAN TEKNOLOGI T4 SK - PART 8</t>
  </si>
  <si>
    <t>https://drive.google.com/file/d/1hACUxmPbHehc37qEeq-W_XpKP1P6JvSg/view?usp=drivesdk</t>
  </si>
  <si>
    <t>REKA BENTUK DAN TEKNOLOGI T4 SK - PART 9</t>
  </si>
  <si>
    <t>https://drive.google.com/file/d/1zdrEoEehAA3yC97k6KMN1zFICiprMh4o/view?usp=drive_link</t>
  </si>
  <si>
    <t>SAINS T 4SJKC - Indeks</t>
  </si>
  <si>
    <t>https://drive.google.com/file/d/1WgQTKVFvz7mSwKlWZzfyvcR7zAdU1zHq/view?usp=drivesdk</t>
  </si>
  <si>
    <t>SAINS T4 SJKT - Indeks</t>
  </si>
  <si>
    <t>https://drive.google.com/file/d/1w8Ud0is_p5Q5rDguN_s6JaX5SgaFQOz4/view?usp=drivesdk</t>
  </si>
  <si>
    <t>SAINS T4 SK - 1 DRP 2 - Indeks</t>
  </si>
  <si>
    <t>https://drive.google.com/file/d/1W6B18V5jp-e74gbv7j4Z38QfwtgUyYZy/view?usp=drivesdk</t>
  </si>
  <si>
    <t>SAINS T4 SK - 2 DRP 2</t>
  </si>
  <si>
    <t>https://drive.google.com/file/d/1KDGSo3IKmdvNANgtQk1x0V3cAQj8vqPL/view?usp=drivesdk</t>
  </si>
  <si>
    <t>SCIENCE Y4 - Indeks</t>
  </si>
  <si>
    <t>https://drive.google.com/file/d/1FikuBOdaevOTn6e6RBVOwFQ-yTDIeNfS/view?usp=drivesdk</t>
  </si>
  <si>
    <t>SEJARAH T4 SJKC - Indeks</t>
  </si>
  <si>
    <t>https://drive.google.com/file/d/1kforGkqt5PJbn65j4BKdeKgrV947Mekj/view?usp=drivesdk</t>
  </si>
  <si>
    <t>SEJARAH T4 SJKT - Indeks</t>
  </si>
  <si>
    <t>https://drive.google.com/file/d/1-veqPPpy6RqdJ5-pUm4qHuUlAxnh1SgZ/view?usp=drivesdk</t>
  </si>
  <si>
    <t>SEJARAH T4 SK - 1 DRP 2 - Indeks</t>
  </si>
  <si>
    <t>https://drive.google.com/file/d/1CVfXuVii5eOk1HUCEmrNpwrBwn3yEQUQ/view?usp=drivesdk</t>
  </si>
  <si>
    <t>SEJARAH T4 SK - 2 DRP 2 - Indeks</t>
  </si>
  <si>
    <t>Tahun 5</t>
  </si>
  <si>
    <t>https://drive.google.com/file/d/16c1FgLyKGfKsFgOaP0rC_rflsF1SWwjj/view?usp=drivesdk</t>
  </si>
  <si>
    <t>BAHASA ARAB T5</t>
  </si>
  <si>
    <t>https://drive.google.com/file/d/1TcWRuXYD3RmFpScctZVYFMKiTLZk7cVy/view?usp=drivesdk</t>
  </si>
  <si>
    <t>BAHASA CINA T5 SJKC - Indeks</t>
  </si>
  <si>
    <t>https://drive.google.com/file/d/1mYcAYBc5QkU-QYqDOIXnG9nBVrWZL1av/view?usp=drivesdk</t>
  </si>
  <si>
    <t>BAHASA CINA T5 SK - PART 1 - Indeks</t>
  </si>
  <si>
    <t>https://drive.google.com/file/d/1CQTcq9B39Y62ljPKouwIiUU4AUIFM8AT/view?usp=drivesdk</t>
  </si>
  <si>
    <t>BAHASA CINA T5 SK - PART 2</t>
  </si>
  <si>
    <t>https://drive.google.com/file/d/17couUMtlp-CBwo7sTyE2Mnvr7kQd-uVk/view?usp=drivesdk</t>
  </si>
  <si>
    <t>BAHASA IBAN T5 - Indeks</t>
  </si>
  <si>
    <t>https://drive.google.com/file/d/1Y5YfRzjQZRmjf-9URHb-NRwxePIUJtL4/view?usp=drivesdk</t>
  </si>
  <si>
    <t>BAHASA KADAZANDUSUN T5 - Indeks</t>
  </si>
  <si>
    <t>https://drive.google.com/file/d/1LQsEwbSbykQvyypPyBSu3BFjdKaAtS4R/view?usp=drivesdk</t>
  </si>
  <si>
    <t>BAHASA MELAYU T5 SJK UNIT 1 - 3</t>
  </si>
  <si>
    <t>https://drive.google.com/file/d/1kz6ujFPm8BU8AYrEPuK2Oy_diaKz24A7/view?usp=drivesdk</t>
  </si>
  <si>
    <t>https://drive.google.com/file/d/12atMbmcrLMR5GM1rMr5K4ED90vDOp_F6/view?usp=drivesdk</t>
  </si>
  <si>
    <t>BAHASA MELAYU T5 SJK UNIT 13 - 18</t>
  </si>
  <si>
    <t>https://drive.google.com/file/d/1Rqc0kj4dT_wucduQw_CEcNfq7ivY1aiH/view?usp=drivesdk</t>
  </si>
  <si>
    <t>https://drive.google.com/file/d/1JeBwnDLqaJPwUTcny6RQgVWh0bR43TTJ/view?usp=drivesdk</t>
  </si>
  <si>
    <t>BAHASA MELAYU T5 SJK UNIT 19 - 24</t>
  </si>
  <si>
    <t>https://drive.google.com/file/d/1A5YO_tzBQfR_aE58ht0U6KdpwUAMyV4b/view?usp=drivesdk</t>
  </si>
  <si>
    <t>https://drive.google.com/file/d/1R1IQvjU6xbCIAH6dfhvYa0K7U2b-tL6m/view?usp=drivesdk</t>
  </si>
  <si>
    <t>BAHASA MELAYU T5 SJK UNIT 4 - 6</t>
  </si>
  <si>
    <t>https://drive.google.com/file/d/1FnEQ2LnMF3hYyYohF8mT0TY3pwgOC6y1/view?usp=drivesdk</t>
  </si>
  <si>
    <t>https://drive.google.com/file/d/1ZE8mLSlY5H0SRZxemUe3KNfZwOknmc3q/view?usp=drivesdk</t>
  </si>
  <si>
    <t>BAHASA MELAYU T5 SJK UNIT 7 - 12</t>
  </si>
  <si>
    <t>https://drive.google.com/file/d/1ldZdjE7DLmAljgZ3m55latnf7jRqLGzo/view?usp=drivesdk</t>
  </si>
  <si>
    <t>https://drive.google.com/file/d/1adabU0CIGmhmP0wrKoMk4zcI5GkRzLDJ/view?usp=drivesdk</t>
  </si>
  <si>
    <t>BAHASA MELAYU T5 SK - PART 1 - Indeks</t>
  </si>
  <si>
    <t>https://drive.google.com/file/d/1EjV8KQxH8wLEA72EmHLUraUxaURLPJgb/view?usp=drivesdk</t>
  </si>
  <si>
    <t>BAHASA MELAYU T5 SK - PART 2 - Indeks</t>
  </si>
  <si>
    <t>https://drive.google.com/file/d/1mTqWkOYmmcFZfvXvc6nKIdgOWAcH3QE6/view?usp=drivesdk</t>
  </si>
  <si>
    <t>BAHASA SEMAI T5 - 1 DRP 2 - Indeks</t>
  </si>
  <si>
    <t>https://drive.google.com/file/d/1bUey67Yuay7kERrg0cNxN-2xBaX_h9Mx/view?usp=drivesdk</t>
  </si>
  <si>
    <t>BAHASA SEMAI T5 - 2 DRP 2 - Indeks</t>
  </si>
  <si>
    <t>https://drive.google.com/file/d/1ABFHWzOTEXaAoIL275JHatB4okL8AVrR/view?usp=drivesdk</t>
  </si>
  <si>
    <t>BAHASA TAMIL T5 SJKT - 1 DRP 3 - Indeks</t>
  </si>
  <si>
    <t>https://drive.google.com/file/d/1ddFgiOGV4ONV_K_ne6CWOaWpBQ4xUMPr/view?usp=drivesdk</t>
  </si>
  <si>
    <t>BAHASA TAMIL T5 SJKT - 2 DRP 3</t>
  </si>
  <si>
    <t>https://drive.google.com/file/d/1ErBfz-D8bZJSeBAjrkmrzF8d8pToZSfC/view?usp=drivesdk</t>
  </si>
  <si>
    <t>BAHASA TAMIL T5 SJKT - 3 DRP 3</t>
  </si>
  <si>
    <t>https://drive.google.com/file/d/18f1Dc-X0k_-dmqLYliW2l_D6hJvIuFUS/view?usp=drivesdk</t>
  </si>
  <si>
    <t>BAHASA TAMIL T5 SK - Indeks</t>
  </si>
  <si>
    <t>https://drive.google.com/file/d/1wc_PImERWNGXaHYdm6JqE8DRgtUrcWei/view?usp=drivesdk</t>
  </si>
  <si>
    <t>ENGLISH PLUS 1 STUDENT'S BOOK Y5 - PART 1 - Indeks</t>
  </si>
  <si>
    <t>https://drive.google.com/file/d/1nehf2HAnaM_R6fFmkGRx-qr4WOSFSZR3/view?usp=drivesdk</t>
  </si>
  <si>
    <t>ENGLISH PLUS 1 STUDENT'S BOOK Y5 - PART 2</t>
  </si>
  <si>
    <t>https://drive.google.com/file/d/19v_zYRIwFzqzLATB9Bgr7NLHfnOep_9-/view?usp=drivesdk</t>
  </si>
  <si>
    <t>ENGLISH PLUS 1 STUDENT'S BOOK Y5 - PART 3</t>
  </si>
  <si>
    <t>https://drive.google.com/file/d/1TMN9LP2ZUkNIBHVqiVroloxgKPsAqf1e/view?usp=drivesdk</t>
  </si>
  <si>
    <t>MATEMATIK T5 SJKC BT - part 1 - Indeks</t>
  </si>
  <si>
    <t>https://drive.google.com/file/d/1bi6tN0CZwiun2RIqe5Sq4tG8AyQhrHh1/view?usp=drivesdk</t>
  </si>
  <si>
    <t>MATEMATIK T5 SJKC BT - part 2</t>
  </si>
  <si>
    <t>https://drive.google.com/file/d/1VBrHrdLdqS8szmPK0v1RuJ0CkBu-kJOI/view?usp=drivesdk</t>
  </si>
  <si>
    <t>MATEMATIK T5 SJKC BT - part 3</t>
  </si>
  <si>
    <t>https://drive.google.com/file/d/13PNsZbb21t-e9PfMcntTUp1D_GUVgjLN/view?usp=drivesdk</t>
  </si>
  <si>
    <t>MATEMATIK T5 SJKC BT - part 4</t>
  </si>
  <si>
    <t>https://drive.google.com/file/d/1K-TiqHJ-5ErMWchZMAmYe0UY28KI7Xdg/view?usp=drivesdk</t>
  </si>
  <si>
    <t>MATEMATIK T5 SJKC BT - part 5</t>
  </si>
  <si>
    <t>https://drive.google.com/file/d/1Vy790Wt8tKMU4nFFfVms98twmDDQkICJ/view?usp=drivesdk</t>
  </si>
  <si>
    <t>MATEMATIK T5 SJKC BT - part 6</t>
  </si>
  <si>
    <t>https://drive.google.com/file/d/1z-oerzriJg59ngu0fELNV6-E0kmvqY2k/view?usp=drivesdk</t>
  </si>
  <si>
    <t>MATEMATIK T5 SJKT - Indeks</t>
  </si>
  <si>
    <t>https://drive.google.com/file/d/1Xt0MoKlgMKDSNZ3V0NG7aQDekUpLWj2s/view?usp=drivesdk</t>
  </si>
  <si>
    <t>MATEMATIK T5 SK - 1 DRP 2</t>
  </si>
  <si>
    <t>https://drive.google.com/file/d/1sg1_68bbWiO1H2JVWD7HbkGKF8wlKzmb/view?usp=drivesdk</t>
  </si>
  <si>
    <t>MATEMATIK T5 SK - 2 DRP 2</t>
  </si>
  <si>
    <t>https://drive.google.com/file/d/14ZgQti35JDoCE6tArIP9rs08txAkfZ5E/view?usp=drivesdk</t>
  </si>
  <si>
    <t>MATHEMATICS Y5 - 1 OF 2</t>
  </si>
  <si>
    <t>https://drive.google.com/file/d/1I71zI8SANyp4lnuZ0gfu63VbC2WBAwyR/view?usp=drivesdk</t>
  </si>
  <si>
    <t>MATHEMATICS Y5 - 2 OF 2</t>
  </si>
  <si>
    <t>https://drive.google.com/file/d/1nM_JjGaun-L5K9ZQBGGhIvRzuiR6x1cL/view?usp=drivesdk</t>
  </si>
  <si>
    <t>PENDIDIKAN ISLAM T5 - Indeks</t>
  </si>
  <si>
    <t>https://drive.google.com/file/d/121K0qZJLWTRrhHJQva2ya75QvKdKkjLi/view?usp=drivesdk</t>
  </si>
  <si>
    <t>PENDIDIKAN JASMANI DAN PENDIDIKAN KESIHATAN T5 SJKC - Indeks</t>
  </si>
  <si>
    <t>https://drive.google.com/file/d/1NQbwH5hgVD5upqzqrKYPrztJoexZq32q/view?usp=drivesdk</t>
  </si>
  <si>
    <t>PENDIDIKAN JASMANI DAN PENDIDIKAN KESIHATAN T5 SJKT - Indeks</t>
  </si>
  <si>
    <t>https://drive.google.com/file/d/1h3oueKdcmeTRBatOFbQ5fGa33j6q6-ld/view?usp=drivesdk</t>
  </si>
  <si>
    <t>PENDIDIKAN JASMANI DAN PENDIDIKAN KESIHATAN T5 SK - Indeks</t>
  </si>
  <si>
    <t>https://drive.google.com/file/d/1zjhadQU0zgw576vQR1P8yYIdygFRUcI0/view?usp=drivesdk</t>
  </si>
  <si>
    <t>PENDIDIKAN MORAL T5 SJKC - Indeks</t>
  </si>
  <si>
    <t>https://drive.google.com/file/d/1v2crOXQ4sO6Qx2Z5M7j8563LZS8-ZhJs/view?usp=drivesdk</t>
  </si>
  <si>
    <t>PENDIDIKAN MORAL T5 SJKT - Indeks</t>
  </si>
  <si>
    <t>https://drive.google.com/file/d/16YagAPiuYuDlU5YHGYKJWjO_BJ2SzGSK/view?usp=drivesdk</t>
  </si>
  <si>
    <t>PENDIDIKAN MORAL T5 SK - 1 DRP 3 - Indeks</t>
  </si>
  <si>
    <t>https://drive.google.com/file/d/1Ti8Vy_2TdECLDulAKpMvIEyRW6dDfJ70/view?usp=drivesdk</t>
  </si>
  <si>
    <t>PENDIDIKAN MORAL T5 SK - 2 DRP 3</t>
  </si>
  <si>
    <t>https://drive.google.com/file/d/1mtE4lDZTVQEZ9BWDO2BXQBZmX2OQPP8A/view?usp=drivesdk</t>
  </si>
  <si>
    <t>PENDIDIKAN MORAL T5 SK - 3 DRP 3</t>
  </si>
  <si>
    <t>https://drive.google.com/file/d/1dSWHAr3LCdmcl6r7cx_HuITPZQBYOpxU/view?usp=drivesdk</t>
  </si>
  <si>
    <t>PENDIDIKAN MUZIK T5 SJKT - 1 DRP 2</t>
  </si>
  <si>
    <t>https://drive.google.com/file/d/1hPNUB9T4N6bJG6ys1KDrVdDJSm4fuPhU/view?usp=drivesdk</t>
  </si>
  <si>
    <t>PENDIDIKAN MUZIK T5 SJKT - 2 DRP 2</t>
  </si>
  <si>
    <t>https://drive.google.com/file/d/12DsUhOZKtvmkdK4ogKxQyv59D0we64wZ/view?usp=drivesdk</t>
  </si>
  <si>
    <t>PENDIDIKAN MUZIK T5 SK - Indeks</t>
  </si>
  <si>
    <t>https://drive.google.com/file/d/1PHlHwujmyj4fhYosIS0llqCaVP4kGvcx/view?usp=drivesdk</t>
  </si>
  <si>
    <t>PENDIDIKAN MUZIK TAHUN 5 SJKC - Indeks</t>
  </si>
  <si>
    <t>https://drive.google.com/file/d/15I-3iZQsXl8XP1KmNtJK0mbFMqzKqs3o/view?usp=drivesdk</t>
  </si>
  <si>
    <t>PENDIDIKAN SENI VISUAL T5 SJKC - Indeks</t>
  </si>
  <si>
    <t>https://drive.google.com/file/d/1fwAxPjFf1wu0nyQxeovyzD2Y64agLhdb/view?usp=drivesdk</t>
  </si>
  <si>
    <t>PENDIDIKAN SENI VISUAL T5 SJKT - Indeks</t>
  </si>
  <si>
    <t>https://drive.google.com/file/d/1JC-qX3PJOuSSFynvsFTOY7mpV7lenG0M/view?usp=drivesdk</t>
  </si>
  <si>
    <t>PENDIDIKAN SENI VISUAL T5 SK - Indeks</t>
  </si>
  <si>
    <t>https://drive.google.com/file/d/1AIwxZww_h0UCMxJOh2wd83pjG2ozazEF/view?usp=drivesdk</t>
  </si>
  <si>
    <t>REKA BENTUK DAN TEKNOLOGI T5 SJKT - Indeks</t>
  </si>
  <si>
    <t>https://drive.google.com/file/d/17tw8IuULPDL6hsCoVVSbJIzElL7XZdpJ/view?usp=drivesdk</t>
  </si>
  <si>
    <t>REKABENTUK DAN TEKNOLOGI T5 SJKC - 1 DRP 2 - Indeks</t>
  </si>
  <si>
    <t>https://drive.google.com/file/d/1zdjsHcCJ0G09y2pH7Hjs3bZa_Kuq6ZXK/view?usp=drivesdk</t>
  </si>
  <si>
    <t>REKABENTUK DAN TEKNOLOGI T5 SJKC - 2 DRP 2</t>
  </si>
  <si>
    <t>https://drive.google.com/file/d/1yaN8WRgilZeK9wiGtGxKt896AQtyCUtf/view?usp=drivesdk</t>
  </si>
  <si>
    <t>REKABENTUK DAN TEKNOLOGI T5 SK</t>
  </si>
  <si>
    <t>https://drive.google.com/file/d/1fPOzmN6qGw9uA9wfzwDqKeWqu8bJaZX2/view?usp=drivesdk</t>
  </si>
  <si>
    <t>SAINS T5 SJKC - 1 DRP 2 - Indeks</t>
  </si>
  <si>
    <t>https://drive.google.com/file/d/1YFQlxaGH7_xOft-teJSxJ14UdoBQ-tzK/view?usp=drivesdk</t>
  </si>
  <si>
    <t>SAINS T5 SJKC - 2 DRP 2</t>
  </si>
  <si>
    <t>https://drive.google.com/file/d/19kSbS_l8bDIO_q16TqW20NzwYF4vBmqj/view?usp=drivesdk</t>
  </si>
  <si>
    <t>SAINS T5 SK - 1 DRP 3 - Indeks</t>
  </si>
  <si>
    <t>https://drive.google.com/file/d/1lpvRv1oTO1KDk7kH5brK020e5r1AID6R/view?usp=drivesdk</t>
  </si>
  <si>
    <t>SAINS T5 SK - 2 DRP 3 - Indeks</t>
  </si>
  <si>
    <t>https://drive.google.com/file/d/1k432gNRN4xr0ecSygXaDCt7LoNHpx0tW/view?usp=drivesdk</t>
  </si>
  <si>
    <t>SAINS T5 SK - 3 DRP 3 - Indeks</t>
  </si>
  <si>
    <t>https://drive.google.com/file/d/1H-TE3TWedywkyYZO-hZEhPRaNRqVDKTB/view?usp=drivesdk</t>
  </si>
  <si>
    <t>SAINS TAHUN 5 SJKT - Indeks</t>
  </si>
  <si>
    <t>https://drive.google.com/file/d/1Pu-bSx0HvBYoxVBeS6vTRtlilbrCtTe_/view?usp=drivesdk</t>
  </si>
  <si>
    <t>SCIENCE Y5 - 1 OF 4 - Indeks</t>
  </si>
  <si>
    <t>https://drive.google.com/file/d/1QMzd2oVP2spquObwTUnTbGDcAF7doxRq/view?usp=drivesdk</t>
  </si>
  <si>
    <t>SCIENCE Y5 - 2 OF 4 - Indeks</t>
  </si>
  <si>
    <t>https://drive.google.com/file/d/1BB3Q3XCllZhMmCmTgFU94BTou04ymEiw/view?usp=drivesdk</t>
  </si>
  <si>
    <t>SCIENCE Y5 - 3 OF 4 - Indeks</t>
  </si>
  <si>
    <t>https://drive.google.com/file/d/1QJ-8t4igKKLDY55A8ekFC7Co8R5bDf2v/view?usp=drivesdk</t>
  </si>
  <si>
    <t>SCIENCE Y5 - 4 OF 4 - Indeks</t>
  </si>
  <si>
    <t>https://drive.google.com/file/d/177dO5E6Ulzv7tCHP0tWMeqjzlgS6pwU_/view?usp=drivesdk</t>
  </si>
  <si>
    <t>SEJARAH T5 SJKC - PART 1 - Indeks</t>
  </si>
  <si>
    <t>https://drive.google.com/file/d/144Id7foOIcE6rE0dswK6aASwtK9yrT_E/view?usp=drivesdk</t>
  </si>
  <si>
    <t>SEJARAH T5 SJKC - PART 2</t>
  </si>
  <si>
    <t>https://drive.google.com/file/d/1GGPRgI20u2RpbfjmpbhHGu4AnCF048DE/view?usp=drivesdk</t>
  </si>
  <si>
    <t>SEJARAH T5 SJKT - 1 DRP 2 - Indeks</t>
  </si>
  <si>
    <t>https://drive.google.com/file/d/1X6yi0V9HlSMNdtIPmMMjstY9u0-jgCkc/view?usp=drivesdk</t>
  </si>
  <si>
    <t>SEJARAH T5 SJKT - 2 DRP 2</t>
  </si>
  <si>
    <t>https://drive.google.com/file/d/1qDq2aiedIh9ejyUK4KZuDEK7f-aBeaU-/view?usp=drivesdk</t>
  </si>
  <si>
    <t>SEJARAH T5 SK - 1 DRP 2 - Indeks</t>
  </si>
  <si>
    <t>https://drive.google.com/file/d/1wzJVz8kcktcrT4P8mM9786jMXHARZ1re/view?usp=drivesdk</t>
  </si>
  <si>
    <t>SEJARAH T5 SK - 2 DRP 2 - Indeks</t>
  </si>
  <si>
    <t>Tahun 6</t>
  </si>
  <si>
    <t>https://drive.google.com/file/d/16kPVblVq4Er-5YW55hIyWq_G8cJKDELM/view?usp=drivesdk</t>
  </si>
  <si>
    <t>BAHASA ARAB T6 (SEMAKAN 2017) - PART 1</t>
  </si>
  <si>
    <t>https://drive.google.com/file/d/1cbOsXqYdY_90PS-NdYd8_dwz6lK5w0dN/view?usp=drivesdk</t>
  </si>
  <si>
    <t>BAHASA ARAB T6 (SEMAKAN 2017) - PART 2</t>
  </si>
  <si>
    <t>https://drive.google.com/file/d/1EGb-cnQ6Xjg-yXxt84Og-6qM7ZPoWCdx/view?usp=drivesdk</t>
  </si>
  <si>
    <t>BAHASA CINA T6 SJKC - PART 1 - Indeks</t>
  </si>
  <si>
    <t>https://drive.google.com/file/d/1bz-glvTUAPmZLeO9a5lgx3iBIf3oes7B/view?usp=drivesdk</t>
  </si>
  <si>
    <t>BAHASA CINA T6 SJKC - PART 2</t>
  </si>
  <si>
    <t>https://drive.google.com/file/d/1zZvNcPhrOZIyvjrVOLw7ZwT68r1yfXmx/view?usp=drivesdk</t>
  </si>
  <si>
    <t>BAHASA CINA T6 SK (SEMAKAN 2017) - PART 1 - Indeks</t>
  </si>
  <si>
    <t>https://drive.google.com/file/d/1hAkSXwogCtxVTDgJmlJxf4xOdyde5H-e/view?usp=drivesdk</t>
  </si>
  <si>
    <t>BAHASA CINA T6 SK (SEMAKAN 2017) - PART 2</t>
  </si>
  <si>
    <t>https://drive.google.com/file/d/1HjwIYMGzDsGPw04DIlr2oeobcehy3Yqi/view?usp=drivesdk</t>
  </si>
  <si>
    <t>BAHASA IBAN T6 (SEMAKAN 2017) - Indeks</t>
  </si>
  <si>
    <t>https://drive.google.com/file/d/1n3PRhLbuHZbE1hsd5lC4QwOMJEz2zsoc/view?usp=drivesdk</t>
  </si>
  <si>
    <t>BAHASA KADAZANDUSUN T6 (SEMAKAN 2017) - Indeks</t>
  </si>
  <si>
    <t>https://drive.google.com/file/d/1Ds4hBjrizK8A8ayQCNAfeqp1-GfMBv_u/view?usp=drivesdk</t>
  </si>
  <si>
    <t>BAHASA MELAYU T6 SJK (SEMAKAN 2017)</t>
  </si>
  <si>
    <t>https://drive.google.com/file/d/1L61pVqeky3FznWfGrYpouQhO42-8KlFk/view?usp=drivesdk</t>
  </si>
  <si>
    <t>https://drive.google.com/file/d/1-suhi0M2InPFFGGlKGq2hpKIdf0MdbTP/view?usp=drivesdk</t>
  </si>
  <si>
    <t>BAHASA MELAYU T6 SK (SEMAKAN 2017) - PART 1 - Indeks</t>
  </si>
  <si>
    <t>https://drive.google.com/file/d/1jmPI0I9UZAZuh662_rvGIGts3fp2rNpp/view?usp=drivesdk</t>
  </si>
  <si>
    <t>BAHASA MELAYU T6 SK (SEMAKAN 2017) - PART 2 - Indeks</t>
  </si>
  <si>
    <t>https://drive.google.com/file/d/1M1JAErHN7JNo3naRkTr17FMsqxs1jQnm/view?usp=drivesdk</t>
  </si>
  <si>
    <t>BAHASA SEMAI T6 (SEMAKAN 2017) - PART 1 - Indeks</t>
  </si>
  <si>
    <t>https://drive.google.com/file/d/1kN_EFc8_IaQGnSY7wNTwmpcNvZj5GhJx/view?usp=drivesdk</t>
  </si>
  <si>
    <t>BAHASA SEMAI T6 (SEMAKAN 2017) - PART 10 - Indeks</t>
  </si>
  <si>
    <t>https://drive.google.com/file/d/1nswRsl3FRq4WXwPzgCTpLA17LxNyqgAB/view?usp=drivesdk</t>
  </si>
  <si>
    <t>BAHASA SEMAI T6 (SEMAKAN 2017) - PART 2 - Indeks</t>
  </si>
  <si>
    <t>https://drive.google.com/file/d/1kOT6ySO6XILGQ2ri1BIy6fEsvbEUCG5l/view?usp=drivesdk</t>
  </si>
  <si>
    <t>BAHASA SEMAI T6 (SEMAKAN 2017) - PART 3 - Indeks</t>
  </si>
  <si>
    <t>https://drive.google.com/file/d/10B01gMYDNwe3F51GWTlqaqjgeei9Kst-/view?usp=drivesdk</t>
  </si>
  <si>
    <t>BAHASA SEMAI T6 (SEMAKAN 2017) - PART 4 - Indeks</t>
  </si>
  <si>
    <t>https://drive.google.com/file/d/1vmdUhYz7id0osdU-VZoB87_arK374CPO/view?usp=drivesdk</t>
  </si>
  <si>
    <t>BAHASA SEMAI T6 (SEMAKAN 2017) - PART 5 - Indeks</t>
  </si>
  <si>
    <t>https://drive.google.com/file/d/1zHFYekDDR45ko2P5uttSGyLi_3vrRuLx/view?usp=drivesdk</t>
  </si>
  <si>
    <t>BAHASA SEMAI T6 (SEMAKAN 2017) - PART 6 - Indeks</t>
  </si>
  <si>
    <t>https://drive.google.com/file/d/1Smm7J2vfx_7cIh4rPLJNFPPpc6lDBe3e/view?usp=drivesdk</t>
  </si>
  <si>
    <t>BAHASA SEMAI T6 (SEMAKAN 2017) - PART 7 - Indeks</t>
  </si>
  <si>
    <t>https://drive.google.com/file/d/1wNgs5s_gsKx4LeJxHJb5b42QpIO9PNbn/view?usp=drivesdk</t>
  </si>
  <si>
    <t>BAHASA SEMAI T6 (SEMAKAN 2017) - PART 8 - Indeks</t>
  </si>
  <si>
    <t>https://drive.google.com/file/d/1eIDMmBHKYzjiCGEglwLAmgrN68fhLleM/view?usp=drivesdk</t>
  </si>
  <si>
    <t>BAHASA SEMAI T6 (SEMAKAN 2017) - PART 9 - Indeks</t>
  </si>
  <si>
    <t>https://drive.google.com/file/d/10ZrrGnB5CCDGdLcP4q3f-UozO5vE8UVg/view?usp=drivesdk</t>
  </si>
  <si>
    <t>BAHASA TAMIL T6 SJKT (SEMAKAN 2017) - PART 1 - Indeks</t>
  </si>
  <si>
    <t>https://drive.google.com/file/d/1SYMi1TBCiCQclalcirG3eqJ6TF6LiQuU/view?usp=drivesdk</t>
  </si>
  <si>
    <t>BAHASA TAMIL T6 SJKT (SEMAKAN 2017) - PART 2</t>
  </si>
  <si>
    <t>https://drive.google.com/file/d/1KslUMyxXu76qDslcQHqQDOG3DP7aR2hi/view?usp=drivesdk</t>
  </si>
  <si>
    <t>BAHASA TAMIL T6 SJKT (SEMAKAN 2017) - PART 3</t>
  </si>
  <si>
    <t>https://drive.google.com/file/d/1ZTCRk8Y4UqdkC5JT8XjHNr7XrtSb0VCx/view?usp=drivesdk</t>
  </si>
  <si>
    <t>BAHASA TAMIL T6 SJKT (SEMAKAN 2017) - PART 4</t>
  </si>
  <si>
    <t>https://drive.google.com/file/d/1rQ62LhEDtDQWdeltPr5BFz77MQOauk5a/view?usp=drivesdk</t>
  </si>
  <si>
    <t>BAHASA TAMIL T6 SJKT (SEMAKAN 2017) - PART 5</t>
  </si>
  <si>
    <t>https://drive.google.com/file/d/14N6iA6MufcYg7s_tN-lwZ_PP-4pMrjvh/view?usp=drivesdk</t>
  </si>
  <si>
    <t>BAHASA TAMIL T6 SK (SEMAKAN 2017) - Indeks</t>
  </si>
  <si>
    <t>https://drive.google.com/file/d/1LQvCUa9h-kXW2D3SNUqNaKSE1-PHHCT-/view?usp=drivesdk</t>
  </si>
  <si>
    <t>MATEMATIK T6 SJKC (SEMAKAN 2017) - PART 1 - Indeks</t>
  </si>
  <si>
    <t>https://drive.google.com/file/d/1uE11tCA7qnKl5AN48KyLnj7RF7x1E6cM/view?usp=drivesdk</t>
  </si>
  <si>
    <t>MATEMATIK T6 SJKC (SEMAKAN 2017) - PART 2</t>
  </si>
  <si>
    <t>https://drive.google.com/file/d/129mlgpP7vqTL0kQsjqPhD1NElEwG2AHc/view?usp=drivesdk</t>
  </si>
  <si>
    <t>MATEMATIK T6 SJKT (SEMAKAN 2017) - PART 1 - Indeks</t>
  </si>
  <si>
    <t>https://drive.google.com/file/d/1wceGOWb2qt03QN7jVAZIXtbPiO6Xpyvp/view?usp=drivesdk</t>
  </si>
  <si>
    <t>MATEMATIK T6 SJKT (SEMAKAN 2017) - PART 2</t>
  </si>
  <si>
    <t>https://drive.google.com/file/d/1em-q0ocnSnWPTXJOWCgFAyuJBQ0yfbcn/view?usp=drivesdk</t>
  </si>
  <si>
    <t>MATEMATIK T6 SJKT (SEMAKAN 2017) - PART 3</t>
  </si>
  <si>
    <t>https://drive.google.com/file/d/1XDZESx6ViSusefq9xoHVxu_9YoKwFbNM/view?usp=drivesdk</t>
  </si>
  <si>
    <t>MATEMATIK T6 SJKT (SEMAKAN 2017) - PART 4</t>
  </si>
  <si>
    <t>https://drive.google.com/file/d/1Db90DjlGCONM5GBgevmvm5czM7fXjUs4/view?usp=drivesdk</t>
  </si>
  <si>
    <t>MATEMATIK T6 SJKT (SEMAKAN 2017) - PART 5</t>
  </si>
  <si>
    <t>https://drive.google.com/file/d/1tdNKlucwMNxxkskNvU0UqB7HshxN4Ju2/view?usp=drivesdk</t>
  </si>
  <si>
    <t>MATEMATIK T6 SK (SEMAKAN 2017) - PART 1</t>
  </si>
  <si>
    <t>https://drive.google.com/file/d/17DAlVXfxSjsyBCJl8FCcOL2ZYItrDPPD/view?usp=drivesdk</t>
  </si>
  <si>
    <t>MATEMATIK T6 SK (SEMAKAN 2017) - PART 2</t>
  </si>
  <si>
    <t>https://drive.google.com/file/d/1TS61aRJibzgziGGgGvGADO-WXvs03Hz5/view?usp=drivesdk</t>
  </si>
  <si>
    <t>MATEMATIK T6 SK (SEMAKAN 2017) - PART 3</t>
  </si>
  <si>
    <t>https://drive.google.com/file/d/12BzsI5Zb_nvWoaTALQdiH4Vji_BFRFgd/view?usp=drivesdk</t>
  </si>
  <si>
    <t>MATHEMATICS Y6 SK (SEMAKAN 2017)</t>
  </si>
  <si>
    <t>https://drive.google.com/file/d/1jM8RWqs_y0gIpZyhbwYuES2s4IqKF9du/view?usp=drivesdk</t>
  </si>
  <si>
    <t>PENDIDIKAN ISLAM T6 (SEMAKAN 2017) - PART 1 - Indeks</t>
  </si>
  <si>
    <t>https://drive.google.com/file/d/1uGq-6xic5ktLayBSMtK_49Kq-gjkqty9/view?usp=drivesdk</t>
  </si>
  <si>
    <t>PENDIDIKAN ISLAM T6 (SEMAKAN 2017) - PART 2</t>
  </si>
  <si>
    <t>https://drive.google.com/file/d/18xSQCTZynotWsB-yi25YYbSzOhZBKuVV/view?usp=drivesdk</t>
  </si>
  <si>
    <t>PENDIDIKAN ISLAM T6 (SEMAKAN 2017) - PART 3</t>
  </si>
  <si>
    <t>https://drive.google.com/file/d/1ywNGeE0TRlYi7Szb2bQ5Df_pISxoI5GB/view?usp=drivesdk</t>
  </si>
  <si>
    <t>PENDIDIKAN ISLAM T6 (SEMAKAN 2017) - PART 4</t>
  </si>
  <si>
    <t>https://drive.google.com/file/d/1TSkNnw63WSp27EdwLVn20VmEX_h6qt33/view?usp=drivesdk</t>
  </si>
  <si>
    <t>PENDIDIKAN ISLAM T6 (SEMAKAN 2017) - PART 5</t>
  </si>
  <si>
    <t>https://drive.google.com/file/d/1oluRkvDnAJQUtuIR0Fokfh23JgwDRk3e/view?usp=drivesdk</t>
  </si>
  <si>
    <t>PENDIDIKAN ISLAM T6 (SEMAKAN 2017) - PART 6</t>
  </si>
  <si>
    <t>https://drive.google.com/file/d/1QTBRnaLcJr5rftSC3mcFGjT6JG-Gjev0/view?usp=drivesdk</t>
  </si>
  <si>
    <t>PENDIDIKAN ISLAM T6 (SEMAKAN 2017) - PART 7</t>
  </si>
  <si>
    <t>https://drive.google.com/file/d/1E_s_QX3SuKzetLBKBr4wi5ycsyE5feqS/view?usp=drivesdk</t>
  </si>
  <si>
    <t>PENDIDIKAN ISLAM T6 (SEMAKAN 2017) - PART 8</t>
  </si>
  <si>
    <t>https://drive.google.com/file/d/1XEajirF8Z2AkePoAh-nmHDCfuOEQHops/view?usp=drivesdk</t>
  </si>
  <si>
    <t>PENDIDIKAN JASMANI DAN PENDIDIKAN KESIHATAN T6 SJKC (SEMAKAN 2017) - PART 1 - Indeks</t>
  </si>
  <si>
    <t>https://drive.google.com/file/d/1wxpWOZriMsEuxPptYUQdXPosla9wZ4TG/view?usp=drivesdk</t>
  </si>
  <si>
    <t>PENDIDIKAN JASMANI DAN PENDIDIKAN KESIHATAN T6 SJKC (SEMAKAN 2017) - PART 2</t>
  </si>
  <si>
    <t>https://drive.google.com/file/d/16nBg-CK5G7_M32KV6GomeLI6l-5cLemq/view?usp=drivesdk</t>
  </si>
  <si>
    <t>PENDIDIKAN JASMANI DAN PENDIDIKAN KESIHATAN T6 SJKT (SEMAKAN 2017) - Indeks</t>
  </si>
  <si>
    <t>https://drive.google.com/file/d/1zcr9hAcP_oJ8dRchTocFk_FbsGO1Wtds/view?usp=drivesdk</t>
  </si>
  <si>
    <t>PENDIDIKAN JASMANI DAN PENDIDIKAN KESIHATAN T6 SK (SEMAKAN 2017) - Indeks</t>
  </si>
  <si>
    <t>https://drive.google.com/file/d/1D-IV-kVAVhConLmpnUwpmikXJlmOYWIj/view?usp=drivesdk</t>
  </si>
  <si>
    <t>PENDIDIKAN MORAL T6 SJKC - PART 1 - Indeks</t>
  </si>
  <si>
    <t>https://drive.google.com/file/d/1BRLOAGSxJqvhrpGxjkkNOfx1GqPUHJHT/view?usp=drivesdk</t>
  </si>
  <si>
    <t>PENDIDIKAN MORAL T6 SJKC - PART 2</t>
  </si>
  <si>
    <t>https://drive.google.com/file/d/1RR7HVRCSryaGblmXi-J85WcKGPGhhE5y/view?usp=drivesdk</t>
  </si>
  <si>
    <t>PENDIDIKAN MORAL T6 SJKT (SEMAKAN 2017) - Indeks</t>
  </si>
  <si>
    <t>https://drive.google.com/file/d/1gF8FhDZpYsDf8r6Yg7FVWLOEFil8KYC5/view?usp=drivesdk</t>
  </si>
  <si>
    <t>PENDIDIKAN MORAL T6 SK (SEMAKAN 2017) - Indeks</t>
  </si>
  <si>
    <t>https://drive.google.com/file/d/10UsQTvcwlaAdQqp62CtKAQiHZMnm5XCM/view?usp=drivesdk</t>
  </si>
  <si>
    <t>PENDIDIKAN MUZIK T6 SJKC (SEMAKAN 2017) - Indeks</t>
  </si>
  <si>
    <t>https://drive.google.com/file/d/17lWZ7MWHCHcq4hCWIMHjsbYDqyzB_Ij0/view?usp=drivesdk</t>
  </si>
  <si>
    <t>PENDIDIKAN MUZIK T6 SJKT (SEMAKAN 2017) - PART 1 - Indeks</t>
  </si>
  <si>
    <t>https://drive.google.com/file/d/1yfLmhtvXQfgfPSpxkTRY4nkOVKDfDAss/view?usp=drivesdk</t>
  </si>
  <si>
    <t>PENDIDIKAN MUZIK T6 SJKT (SEMAKAN 2017) - PART 2</t>
  </si>
  <si>
    <t>https://drive.google.com/file/d/1TFeUdrwNZEI6YAVpnohwHXO0gusfgO-3/view?usp=drivesdk</t>
  </si>
  <si>
    <t>PENDIDIKAN MUZIK T6 SJKT (SEMAKAN 2017) - PART 3</t>
  </si>
  <si>
    <t>https://drive.google.com/file/d/1UpJ2qvzLNCP0Abqm7CB8E4Te9HDWr88K/view?usp=drivesdk</t>
  </si>
  <si>
    <t>PENDIDIKAN MUZIK T6 SK (SEMAKAN 2017) - Indeks</t>
  </si>
  <si>
    <t>https://drive.google.com/file/d/1JuuVdI5H5SrAxovfosQB8XTfqK5xAum-/view?usp=drivesdk</t>
  </si>
  <si>
    <t>PENDIDIKAN SENI VISUAL SJKC T6 (SEMAKAN 2017) - Indeks</t>
  </si>
  <si>
    <t>https://drive.google.com/file/d/1fzKQxgFXzpgMajhUrMTIRV89S-wSiPWx/view?usp=drivesdk</t>
  </si>
  <si>
    <t>PENDIDIKAN SENI VISUAL T6 SJKT (SEMAKAN 2017) - PART 1 - Indeks</t>
  </si>
  <si>
    <t>https://drive.google.com/file/d/1q9_-yfIIrKZiQZhIfNXVIGNNfMlYXXIP/view?usp=drivesdk</t>
  </si>
  <si>
    <t>PENDIDIKAN SENI VISUAL T6 SJKT (SEMAKAN 2017) - PART 2</t>
  </si>
  <si>
    <t>https://drive.google.com/file/d/1edSjGKZJRfMeVOiNaZKc6hLyAVbI5yLS/view?usp=drivesdk</t>
  </si>
  <si>
    <t>PENDIDIKAN SENI VISUAL T6 SK (SEMAKAN 2017) - Indeks</t>
  </si>
  <si>
    <t>https://drive.google.com/file/d/1DKUs9wy0KCZRVynZ52-zVkfiEUMXlNVi/view?usp=drivesdk</t>
  </si>
  <si>
    <t>REKA BENTUK DAN TEKNOLOGI T6 SJKC (SEMAKAN 2017) - PART 1</t>
  </si>
  <si>
    <t>https://drive.google.com/file/d/1c70bnjZdh3GPUCmia9-Xz2M6pW_MrNX-/view?usp=drivesdk</t>
  </si>
  <si>
    <t>REKA BENTUK DAN TEKNOLOGI T6 SJKC (SEMAKAN 2017) - PART 2</t>
  </si>
  <si>
    <t>https://drive.google.com/file/d/19XgyP5vZkadEmAPPJ_PN5WtpHPKqQr--/view?usp=drivesdk</t>
  </si>
  <si>
    <t>REKA BENTUK DAN TEKNOLOGI T6 SJKT (SEMAKAN 2017) - PART 1 - Indeks</t>
  </si>
  <si>
    <t>https://drive.google.com/file/d/1kkGNnyWVhJOEC1jl9DSxAM2C7yf0ocSq/view?usp=drivesdk</t>
  </si>
  <si>
    <t>REKA BENTUK DAN TEKNOLOGI T6 SJKT (SEMAKAN 2017) - PART 2</t>
  </si>
  <si>
    <t>https://drive.google.com/file/d/19HXHRAQ2ZqFz6gx2MXB2Y2aQWi4Sm6mt/view?usp=drivesdk</t>
  </si>
  <si>
    <t>REKA BENTUK DAN TEKNOLOGI T6 SJKT (SEMAKAN 2017) - PART 3</t>
  </si>
  <si>
    <t>https://drive.google.com/file/d/1Lj2Nn7DGVzVfpnL4tOjYtng5Ghl83BSN/view?usp=drivesdk</t>
  </si>
  <si>
    <t>REKA BENTUK DAN TEKNOLOGI T6 SJKT (SEMAKAN 2017) - PART 4</t>
  </si>
  <si>
    <t>https://drive.google.com/file/d/1TkLlTtRDRIB-3aF6MYXhsvyynJsMHyrL/view?usp=drivesdk</t>
  </si>
  <si>
    <t>REKABENTUK DAN TEKNOLOGI T6 SK (SEMAKAN 2017) - PART 1</t>
  </si>
  <si>
    <t>https://drive.google.com/file/d/1SL_NLrTq0tYjTkwBFtHuBA2kvs5Fxw4r/view?usp=drivesdk</t>
  </si>
  <si>
    <t>REKABENTUK DAN TEKNOLOGI T6 SK (SEMAKAN 2017) - PART 2</t>
  </si>
  <si>
    <t>https://drive.google.com/file/d/1O11ektcc2h-EdE7J8ACeQoyMBzQQzJkZ/view?usp=drivesdk</t>
  </si>
  <si>
    <t>REKABENTUK DAN TEKNOLOGI T6 SK (SEMAKAN 2017) - PART 3</t>
  </si>
  <si>
    <t>https://drive.google.com/file/d/1bCdd0dudAarIqTals318i4l4foujdL2t/view?usp=drivesdk</t>
  </si>
  <si>
    <t>REKABENTUK DAN TEKNOLOGI T6 SK (SEMAKAN 2017) - PART 4</t>
  </si>
  <si>
    <t>https://drive.google.com/file/d/1RYNHWeZch6xW2PXOHkOP1MPCGM4LTCUP/view?usp=drivesdk</t>
  </si>
  <si>
    <t>REKABENTUK DAN TEKNOLOGI T6 SK (SEMAKAN 2017) - PART 5</t>
  </si>
  <si>
    <t>https://drive.google.com/file/d/1GEeJ4uC76HAsZe7UOQ3n1JI__XqLRiEa/view?usp=drivesdk</t>
  </si>
  <si>
    <t>REKABENTUK DAN TEKNOLOGI T6 SK (SEMAKAN 2017) - PART 6</t>
  </si>
  <si>
    <t>https://drive.google.com/file/d/1YSqyRWIS7fpMJluU29IpcjF2GFDeIpWU/view?usp=drivesdk</t>
  </si>
  <si>
    <t>REKABENTUK DAN TEKNOLOGI T6 SK (SEMAKAN 2017) - PART 7</t>
  </si>
  <si>
    <t>https://drive.google.com/file/d/1GWEgfUMYDGu2ArSWn4Kcd7amZjeRIHuE/view?usp=drivesdk</t>
  </si>
  <si>
    <t>SAINS T6 SJKC (SEMAKAN 2017) - PART 1 - Indeks</t>
  </si>
  <si>
    <t>https://drive.google.com/file/d/1qG4xVxy5JmRxavluVXmOBnIZdTmhBoOe/view?usp=drivesdk</t>
  </si>
  <si>
    <t>SAINS T6 SJKC (SEMAKAN 2017) - PART 2 - Indeks</t>
  </si>
  <si>
    <t>https://drive.google.com/file/d/19oQMFfbIJdMibgBp_OoHDW2F-jG-588s/view?usp=drivesdk</t>
  </si>
  <si>
    <t>SAINS T6 SJKT (SEMAKAN 2017) - Indeks</t>
  </si>
  <si>
    <t>https://drive.google.com/file/d/1WEhmjkKr0WojaRUIDoOH0bgGDkYnFPky/view?usp=drivesdk</t>
  </si>
  <si>
    <t>SAINS T6 SK (SEMAKAN 2017) - PART 1</t>
  </si>
  <si>
    <t>https://drive.google.com/file/d/1PHpOLNCVNCH-DE1Tol7UDObFAmot3cZU/view?usp=drivesdk</t>
  </si>
  <si>
    <t>SAINS T6 SK (SEMAKAN 2017) - PART 2</t>
  </si>
  <si>
    <t>https://drive.google.com/file/d/1B1rEyjy5db-kdrnV2v0M1yB7qQcjrAw3/view?usp=drivesdk</t>
  </si>
  <si>
    <t>SCIENCE Y6 SK (SEMAKAN 2017) - PART 1 - Indeks</t>
  </si>
  <si>
    <t>https://drive.google.com/file/d/1MY5E83N7jIy_--fQBGRbopPd7NS1chAR/view?usp=drivesdk</t>
  </si>
  <si>
    <t>SCIENCE Y6 SK (SEMAKAN 2017) - PART 2 - Indeks</t>
  </si>
  <si>
    <t>https://drive.google.com/file/d/12B057uLdmBU6jWotAu99tj53CNcdnTD-/view?usp=drivesdk</t>
  </si>
  <si>
    <t>SEJARAH T6 SJKC (SEMAKAN 2017) - Indeks</t>
  </si>
  <si>
    <t>https://drive.google.com/file/d/1IypYg7_0J9N6i0QfU_OMjvN-T_YF4d06/view?usp=drivesdk</t>
  </si>
  <si>
    <t>SEJARAH T6 SJKT (SEMAKAN 2017) - Indeks</t>
  </si>
  <si>
    <t>https://drive.google.com/file/d/1OCRgVQsCEaga4eWuf3hewy395fwTk9TW/view?usp=drivesdk</t>
  </si>
  <si>
    <t>SEJARAH T6 SK (SEMAKAN 2017) - PART 1 - Indeks</t>
  </si>
  <si>
    <t>https://drive.google.com/file/d/1P2ke063W0Ko5soBMbRZ1YCQaEtSCL-h4/view?usp=drivesdk</t>
  </si>
  <si>
    <t>SEJARAH T6 SK (SEMAKAN 2017) - PART 2 - Indeks</t>
  </si>
  <si>
    <t>https://drive.google.com/file/d/1Z5XAGPam-1KcNkJCc-UufZQ-QX6QeWnf/view?usp=drivesdk</t>
  </si>
  <si>
    <t>SEJARAH T6 SK (SEMAKAN 2017) - PART 3 - Indeks</t>
  </si>
  <si>
    <t>https://drive.google.com/file/d/18Vhf0cIeQlVzmxmqu9q_l4zWhoBNKRLK/view?usp=drivesdk</t>
  </si>
  <si>
    <t>SEJARAH T6 SK (SEMAKAN 2017) - PART 4 - Indeks</t>
  </si>
  <si>
    <t>https://drive.google.com/file/d/1Jv5aHi-JmXgAwq-WvyFh4qsxh1K7Wgnf/view?usp=drivesdk</t>
  </si>
  <si>
    <t>SEJARAH T6 SK (SEMAKAN 2017) - PART 5 - Indeks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</si>
</sst>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jOnOF_70drdoAtamfXmZnFYxHwRUxl_/view?usp=drivesdk" TargetMode="External"/><Relationship Id="rId2" Type="http://schemas.openxmlformats.org/officeDocument/2006/relationships/hyperlink" Target="https://drive.google.com/file/d/16kPVblVq4Er-5YW55hIyWq_G8cJKDELM/view?usp=drivesd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tr">
        <f>HYPERLINK("https://drive.google.com/file/d/1njOnOF_70drdoAtamfXmZnFYxHwRUxl_/view?usp=drivesdk", "30.6 MB")</f>
        <v>30.6 MB</v>
      </c>
    </row>
    <row r="3">
      <c r="A3" s="1" t="s">
        <v>11</v>
      </c>
      <c r="B3" s="1" t="s">
        <v>7</v>
      </c>
      <c r="C3" s="1" t="s">
        <v>12</v>
      </c>
      <c r="D3" s="1" t="s">
        <v>13</v>
      </c>
      <c r="E3" s="1" t="s">
        <v>10</v>
      </c>
      <c r="F3" s="3" t="str">
        <f>HYPERLINK("https://drive.google.com/file/d/1Do-_i8psSp1BxGJ17kLE3qBHnIHy0alA/view?usp=drivesdk", "25.1 MB")</f>
        <v>25.1 MB</v>
      </c>
    </row>
    <row r="4">
      <c r="A4" s="1" t="s">
        <v>14</v>
      </c>
      <c r="B4" s="1" t="s">
        <v>7</v>
      </c>
      <c r="C4" s="1" t="s">
        <v>15</v>
      </c>
      <c r="D4" s="1" t="s">
        <v>9</v>
      </c>
      <c r="E4" s="1" t="s">
        <v>16</v>
      </c>
      <c r="F4" s="3" t="str">
        <f>HYPERLINK("https://drive.google.com/file/d/11nPIwTFeRe-PvcyXRxiSn6aNSfpyzoLp/view?usp=drivesdk", "31.7 MB")</f>
        <v>31.7 MB</v>
      </c>
    </row>
    <row r="5">
      <c r="A5" s="1" t="s">
        <v>17</v>
      </c>
      <c r="B5" s="1" t="s">
        <v>7</v>
      </c>
      <c r="C5" s="1" t="s">
        <v>18</v>
      </c>
      <c r="D5" s="1" t="s">
        <v>13</v>
      </c>
      <c r="E5" s="1" t="s">
        <v>16</v>
      </c>
      <c r="F5" s="3" t="str">
        <f>HYPERLINK("https://drive.google.com/file/d/1iQIXblsPg04mXnQwmFrLESNng6Kk5zlE/view?usp=drivesdk", "27.3 MB")</f>
        <v>27.3 MB</v>
      </c>
    </row>
    <row r="6">
      <c r="A6" s="1" t="s">
        <v>19</v>
      </c>
      <c r="B6" s="1" t="s">
        <v>7</v>
      </c>
      <c r="C6" s="1" t="s">
        <v>20</v>
      </c>
      <c r="D6" s="1" t="s">
        <v>13</v>
      </c>
      <c r="E6" s="1" t="s">
        <v>16</v>
      </c>
      <c r="F6" s="3" t="str">
        <f>HYPERLINK("https://drive.google.com/file/d/1RVKgeunwlAczdH-iLa6wUib2DS4IOmgN/view?usp=drivesdk", "24.8 MB")</f>
        <v>24.8 MB</v>
      </c>
    </row>
    <row r="7">
      <c r="A7" s="1" t="s">
        <v>21</v>
      </c>
      <c r="B7" s="1" t="s">
        <v>7</v>
      </c>
      <c r="C7" s="1" t="s">
        <v>22</v>
      </c>
      <c r="D7" s="1" t="s">
        <v>13</v>
      </c>
      <c r="E7" s="1" t="s">
        <v>16</v>
      </c>
      <c r="F7" s="3" t="str">
        <f>HYPERLINK("https://drive.google.com/file/d/1sIhQLwAhLR0rKixOtXtD7_ynD0nWW165/view?usp=drive_link", "24.6 MB")</f>
        <v>24.6 MB</v>
      </c>
    </row>
    <row r="8">
      <c r="A8" s="1" t="s">
        <v>23</v>
      </c>
      <c r="B8" s="1" t="s">
        <v>7</v>
      </c>
      <c r="C8" s="1" t="s">
        <v>24</v>
      </c>
      <c r="D8" s="1" t="s">
        <v>13</v>
      </c>
      <c r="E8" s="1" t="s">
        <v>16</v>
      </c>
      <c r="F8" s="3" t="str">
        <f>HYPERLINK("https://drive.google.com/file/d/1HFzMscvfN_lrvffOAQrBHQbgMlpMxLb7/view?usp=drive_link", "23.2 MB")</f>
        <v>23.2 MB</v>
      </c>
    </row>
    <row r="9">
      <c r="A9" s="1" t="s">
        <v>25</v>
      </c>
      <c r="B9" s="1" t="s">
        <v>7</v>
      </c>
      <c r="C9" s="1" t="s">
        <v>26</v>
      </c>
      <c r="D9" s="1" t="s">
        <v>9</v>
      </c>
      <c r="E9" s="1" t="s">
        <v>10</v>
      </c>
      <c r="F9" s="3" t="str">
        <f>HYPERLINK("https://drive.google.com/file/d/1y2IMaXOdPCaqsR3QV3B72xbRP1v4PV-o/view?usp=drivesdk", "24.1 MB")</f>
        <v>24.1 MB</v>
      </c>
    </row>
    <row r="10">
      <c r="A10" s="1" t="s">
        <v>27</v>
      </c>
      <c r="B10" s="1" t="s">
        <v>7</v>
      </c>
      <c r="C10" s="1" t="s">
        <v>28</v>
      </c>
      <c r="D10" s="1" t="s">
        <v>13</v>
      </c>
      <c r="E10" s="1" t="s">
        <v>10</v>
      </c>
      <c r="F10" s="3" t="str">
        <f>HYPERLINK("https://drive.google.com/file/d/1lz2May0N8zJWIPdZgvO4GCOIpKQo1idl/view?usp=drivesdk", "28.6 MB")</f>
        <v>28.6 MB</v>
      </c>
    </row>
    <row r="11">
      <c r="A11" s="1" t="s">
        <v>29</v>
      </c>
      <c r="B11" s="1" t="s">
        <v>7</v>
      </c>
      <c r="C11" s="1" t="s">
        <v>30</v>
      </c>
      <c r="D11" s="1" t="s">
        <v>13</v>
      </c>
      <c r="E11" s="1" t="s">
        <v>10</v>
      </c>
      <c r="F11" s="3" t="str">
        <f>HYPERLINK("https://drive.google.com/file/d/1P14P2BggpVc2rbw_3dtEzUele1T8bb8Z/view?usp=drive_link", "29.3 MB")</f>
        <v>29.3 MB</v>
      </c>
    </row>
    <row r="12">
      <c r="A12" s="1" t="s">
        <v>31</v>
      </c>
      <c r="B12" s="1" t="s">
        <v>7</v>
      </c>
      <c r="C12" s="1" t="s">
        <v>32</v>
      </c>
      <c r="D12" s="1" t="s">
        <v>9</v>
      </c>
      <c r="E12" s="1" t="s">
        <v>10</v>
      </c>
      <c r="F12" s="3" t="str">
        <f>HYPERLINK("https://drive.google.com/file/d/1Vk6izR6i_UYWlOyrZ-GQio9aXnXrLyGw/view?usp=drivesdk", "33.8 MB")</f>
        <v>33.8 MB</v>
      </c>
    </row>
    <row r="13">
      <c r="A13" s="1" t="s">
        <v>33</v>
      </c>
      <c r="B13" s="1" t="s">
        <v>7</v>
      </c>
      <c r="C13" s="1" t="s">
        <v>34</v>
      </c>
      <c r="D13" s="1" t="s">
        <v>13</v>
      </c>
      <c r="E13" s="1" t="s">
        <v>10</v>
      </c>
      <c r="F13" s="3" t="str">
        <f>HYPERLINK("https://drive.google.com/file/d/1KP8h7YbCcJMyTxDcBlJ2TMNVUkAS3Kci/view?usp=drivesdk", "44.9 MB")</f>
        <v>44.9 MB</v>
      </c>
    </row>
    <row r="14">
      <c r="A14" s="1" t="s">
        <v>35</v>
      </c>
      <c r="B14" s="1" t="s">
        <v>7</v>
      </c>
      <c r="C14" s="1" t="s">
        <v>36</v>
      </c>
      <c r="D14" s="1" t="s">
        <v>9</v>
      </c>
      <c r="E14" s="1" t="s">
        <v>10</v>
      </c>
      <c r="F14" s="3" t="str">
        <f>HYPERLINK("https://drive.google.com/file/d/1ywrO_dhyVCxwJSVhaRAx_k0fF5tpy44W/view?usp=drivesdk", "24.9 MB")</f>
        <v>24.9 MB</v>
      </c>
    </row>
    <row r="15">
      <c r="A15" s="1" t="s">
        <v>37</v>
      </c>
      <c r="B15" s="1" t="s">
        <v>7</v>
      </c>
      <c r="C15" s="1" t="s">
        <v>38</v>
      </c>
      <c r="D15" s="1" t="s">
        <v>13</v>
      </c>
      <c r="E15" s="1" t="s">
        <v>10</v>
      </c>
      <c r="F15" s="3" t="str">
        <f>HYPERLINK("https://drive.google.com/file/d/1UvME6fFil7G31_e7MCy9TzKgv7fG1N9N/view?usp=drivesdk", "61.9 MB")</f>
        <v>61.9 MB</v>
      </c>
    </row>
    <row r="16">
      <c r="A16" s="1" t="s">
        <v>39</v>
      </c>
      <c r="B16" s="1" t="s">
        <v>7</v>
      </c>
      <c r="C16" s="1" t="s">
        <v>40</v>
      </c>
      <c r="D16" s="1" t="s">
        <v>9</v>
      </c>
      <c r="E16" s="1" t="s">
        <v>41</v>
      </c>
      <c r="F16" s="3" t="str">
        <f>HYPERLINK("https://drive.google.com/file/d/1kT93mgdfaNo52wjUWnDhehy0OoO0VRwq/view?usp=drivesdk", "73.9 MB")</f>
        <v>73.9 MB</v>
      </c>
    </row>
    <row r="17">
      <c r="A17" s="1" t="s">
        <v>42</v>
      </c>
      <c r="B17" s="1" t="s">
        <v>7</v>
      </c>
      <c r="C17" s="1" t="s">
        <v>40</v>
      </c>
      <c r="D17" s="1" t="s">
        <v>9</v>
      </c>
      <c r="E17" s="1" t="s">
        <v>16</v>
      </c>
      <c r="F17" s="3" t="str">
        <f>HYPERLINK("https://drive.google.com/file/d/1pPhGVSZXAVF84vtawTCLSWSc74EEnH6o/view?usp=drivesdk", "73.9 MB")</f>
        <v>73.9 MB</v>
      </c>
    </row>
    <row r="18">
      <c r="A18" s="1" t="s">
        <v>43</v>
      </c>
      <c r="B18" s="1" t="s">
        <v>7</v>
      </c>
      <c r="C18" s="1" t="s">
        <v>44</v>
      </c>
      <c r="D18" s="1" t="s">
        <v>13</v>
      </c>
      <c r="E18" s="1" t="s">
        <v>16</v>
      </c>
      <c r="F18" s="3" t="str">
        <f>HYPERLINK("https://drive.google.com/file/d/1q-i25u7D5q2dJVCgJM_GC-T5w4x_gd0c/view?usp=drivesdk", "33.7 MB")</f>
        <v>33.7 MB</v>
      </c>
    </row>
    <row r="19">
      <c r="A19" s="1" t="s">
        <v>45</v>
      </c>
      <c r="B19" s="1" t="s">
        <v>7</v>
      </c>
      <c r="C19" s="1" t="s">
        <v>44</v>
      </c>
      <c r="D19" s="1" t="s">
        <v>13</v>
      </c>
      <c r="E19" s="1" t="s">
        <v>41</v>
      </c>
      <c r="F19" s="3" t="str">
        <f>HYPERLINK("https://drive.google.com/file/d/1brzThDJhwOp29sy2KaYAzJ0_nWmB1sl-/view?usp=drivesdk", "33.7 MB")</f>
        <v>33.7 MB</v>
      </c>
    </row>
    <row r="20">
      <c r="A20" s="1" t="s">
        <v>46</v>
      </c>
      <c r="B20" s="1" t="s">
        <v>7</v>
      </c>
      <c r="C20" s="1" t="s">
        <v>47</v>
      </c>
      <c r="D20" s="1" t="s">
        <v>13</v>
      </c>
      <c r="E20" s="1" t="s">
        <v>16</v>
      </c>
      <c r="F20" s="3" t="str">
        <f>HYPERLINK("https://drive.google.com/file/d/1yheLOMFwJ_d3YHxdMdNdZ9pRs4KtVEj1/view?usp=drivesdk", "27.7 MB")</f>
        <v>27.7 MB</v>
      </c>
    </row>
    <row r="21">
      <c r="A21" s="1" t="s">
        <v>48</v>
      </c>
      <c r="B21" s="1" t="s">
        <v>7</v>
      </c>
      <c r="C21" s="1" t="s">
        <v>47</v>
      </c>
      <c r="D21" s="1" t="s">
        <v>13</v>
      </c>
      <c r="E21" s="1" t="s">
        <v>41</v>
      </c>
      <c r="F21" s="3" t="str">
        <f>HYPERLINK("https://drive.google.com/file/d/1HbNBlzg3ugePI9d5-JzG4BRTCgZ3S9cz/view?usp=drivesdk", "27.7 MB")</f>
        <v>27.7 MB</v>
      </c>
    </row>
    <row r="22">
      <c r="A22" s="1" t="s">
        <v>49</v>
      </c>
      <c r="B22" s="1" t="s">
        <v>7</v>
      </c>
      <c r="C22" s="1" t="s">
        <v>50</v>
      </c>
      <c r="D22" s="1" t="s">
        <v>9</v>
      </c>
      <c r="E22" s="1" t="s">
        <v>10</v>
      </c>
      <c r="F22" s="3" t="str">
        <f>HYPERLINK("https://drive.google.com/file/d/1xNgfwxGh-_jfaU7uXDf68B2ToXO8v2MG/view?usp=drivesdk", "57.8 MB")</f>
        <v>57.8 MB</v>
      </c>
    </row>
    <row r="23">
      <c r="A23" s="1" t="s">
        <v>51</v>
      </c>
      <c r="B23" s="1" t="s">
        <v>7</v>
      </c>
      <c r="C23" s="1" t="s">
        <v>52</v>
      </c>
      <c r="D23" s="1" t="s">
        <v>13</v>
      </c>
      <c r="E23" s="1" t="s">
        <v>10</v>
      </c>
      <c r="F23" s="3" t="str">
        <f>HYPERLINK("https://drive.google.com/file/d/129_bK-My6p1JRaVqfHVBddbQD_I_n83g/view?usp=drivesdk", "39.3 MB")</f>
        <v>39.3 MB</v>
      </c>
    </row>
    <row r="24">
      <c r="A24" s="1" t="s">
        <v>53</v>
      </c>
      <c r="B24" s="1" t="s">
        <v>7</v>
      </c>
      <c r="C24" s="1" t="s">
        <v>54</v>
      </c>
      <c r="D24" s="1" t="s">
        <v>13</v>
      </c>
      <c r="E24" s="1" t="s">
        <v>10</v>
      </c>
      <c r="F24" s="3" t="str">
        <f>HYPERLINK("https://drive.google.com/file/d/1GFZOrgMbkB_QOclTiaUdOlPXWdB7YEYX/view?usp=drivesdk", "36 MB")</f>
        <v>36 MB</v>
      </c>
    </row>
    <row r="25">
      <c r="A25" s="1" t="s">
        <v>55</v>
      </c>
      <c r="B25" s="1" t="s">
        <v>7</v>
      </c>
      <c r="C25" s="1" t="s">
        <v>56</v>
      </c>
      <c r="D25" s="1" t="s">
        <v>9</v>
      </c>
      <c r="E25" s="1" t="s">
        <v>10</v>
      </c>
      <c r="F25" s="3" t="str">
        <f>HYPERLINK("https://drive.google.com/file/d/1z6Kgf3a0tHZbeghSHxq89cwnG0vuzy5f/view?usp=drivesdk", "39 MB")</f>
        <v>39 MB</v>
      </c>
    </row>
    <row r="26">
      <c r="A26" s="1" t="s">
        <v>57</v>
      </c>
      <c r="B26" s="1" t="s">
        <v>7</v>
      </c>
      <c r="C26" s="1" t="s">
        <v>58</v>
      </c>
      <c r="D26" s="1" t="s">
        <v>13</v>
      </c>
      <c r="E26" s="1" t="s">
        <v>10</v>
      </c>
      <c r="F26" s="3" t="str">
        <f>HYPERLINK("https://drive.google.com/file/d/1b0UUor3i2Ldtcsj7ajdczFpTf5grHXig/view?usp=drivesdk", "34.6 MB")</f>
        <v>34.6 MB</v>
      </c>
    </row>
    <row r="27">
      <c r="A27" s="1" t="s">
        <v>59</v>
      </c>
      <c r="B27" s="1" t="s">
        <v>7</v>
      </c>
      <c r="C27" s="1" t="s">
        <v>60</v>
      </c>
      <c r="D27" s="1" t="s">
        <v>13</v>
      </c>
      <c r="E27" s="1" t="s">
        <v>41</v>
      </c>
      <c r="F27" s="3" t="str">
        <f>HYPERLINK("https://drive.google.com/file/d/12oyxjquaA6uJ7cb6o-Wvn4WpQzetT8KM/view?usp=share_link", "48.1 MB")</f>
        <v>48.1 MB</v>
      </c>
    </row>
    <row r="28">
      <c r="A28" s="1" t="s">
        <v>61</v>
      </c>
      <c r="B28" s="1" t="s">
        <v>7</v>
      </c>
      <c r="C28" s="1" t="s">
        <v>62</v>
      </c>
      <c r="D28" s="1" t="s">
        <v>13</v>
      </c>
      <c r="E28" s="1" t="s">
        <v>41</v>
      </c>
      <c r="F28" s="3" t="str">
        <f>HYPERLINK("https://drive.google.com/file/d/1RRMng4FmJXG3T5JeL_oBr0-47AvVc8l0/view?usp=drivesdk", "13.5 MB")</f>
        <v>13.5 MB</v>
      </c>
    </row>
    <row r="29">
      <c r="A29" s="1" t="s">
        <v>63</v>
      </c>
      <c r="B29" s="1" t="s">
        <v>7</v>
      </c>
      <c r="C29" s="1" t="s">
        <v>64</v>
      </c>
      <c r="D29" s="1" t="s">
        <v>9</v>
      </c>
      <c r="E29" s="1" t="s">
        <v>41</v>
      </c>
      <c r="F29" s="3" t="str">
        <f>HYPERLINK("https://drive.google.com/file/d/1W_Pwwdvy4xUpmCurIRAsglQIGOsggfq7/view?usp=drivesdk", "32.8 MB")</f>
        <v>32.8 MB</v>
      </c>
    </row>
    <row r="30">
      <c r="A30" s="1" t="s">
        <v>65</v>
      </c>
      <c r="B30" s="1" t="s">
        <v>7</v>
      </c>
      <c r="C30" s="1" t="s">
        <v>66</v>
      </c>
      <c r="D30" s="1" t="s">
        <v>9</v>
      </c>
      <c r="E30" s="1" t="s">
        <v>10</v>
      </c>
      <c r="F30" s="3" t="str">
        <f>HYPERLINK("https://drive.google.com/file/d/1Aj0ub0zktGGOlCGBB7XCDmbwdzwQlcdZ/view?usp=drivesdk", "55.3 MB")</f>
        <v>55.3 MB</v>
      </c>
    </row>
    <row r="31">
      <c r="A31" s="1" t="s">
        <v>67</v>
      </c>
      <c r="B31" s="1" t="s">
        <v>7</v>
      </c>
      <c r="C31" s="1" t="s">
        <v>68</v>
      </c>
      <c r="D31" s="1" t="s">
        <v>13</v>
      </c>
      <c r="E31" s="1" t="s">
        <v>10</v>
      </c>
      <c r="F31" s="3" t="str">
        <f>HYPERLINK("https://drive.google.com/file/d/13IER7_Qw-aPmPFnKcJTdpOa3kixOH-vr/view?usp=drivesdk", "65.9 MB")</f>
        <v>65.9 MB</v>
      </c>
    </row>
    <row r="32">
      <c r="A32" s="1" t="s">
        <v>69</v>
      </c>
      <c r="B32" s="1" t="s">
        <v>7</v>
      </c>
      <c r="C32" s="1" t="s">
        <v>70</v>
      </c>
      <c r="D32" s="1" t="s">
        <v>9</v>
      </c>
      <c r="E32" s="1" t="s">
        <v>10</v>
      </c>
      <c r="F32" s="3" t="str">
        <f>HYPERLINK("https://drive.google.com/file/d/1ZRyk-AwIL8LtGEh0hYvhi1pXDoxCztd-/view?usp=drivesdk", "33.5 MB")</f>
        <v>33.5 MB</v>
      </c>
    </row>
    <row r="33">
      <c r="A33" s="1" t="s">
        <v>71</v>
      </c>
      <c r="B33" s="1" t="s">
        <v>7</v>
      </c>
      <c r="C33" s="1" t="s">
        <v>72</v>
      </c>
      <c r="D33" s="1" t="s">
        <v>9</v>
      </c>
      <c r="E33" s="1" t="s">
        <v>16</v>
      </c>
      <c r="F33" s="3" t="str">
        <f>HYPERLINK("https://drive.google.com/file/d/1kzgiNbiC3Obt2wDRXpalTgT_5iaxNvTt/view?usp=drivesdk", "35.4 MB")</f>
        <v>35.4 MB</v>
      </c>
    </row>
    <row r="34">
      <c r="A34" s="1" t="s">
        <v>73</v>
      </c>
      <c r="B34" s="1" t="s">
        <v>7</v>
      </c>
      <c r="C34" s="1" t="s">
        <v>74</v>
      </c>
      <c r="D34" s="1" t="s">
        <v>9</v>
      </c>
      <c r="E34" s="1" t="s">
        <v>16</v>
      </c>
      <c r="F34" s="3" t="str">
        <f>HYPERLINK("https://drive.google.com/file/d/1zlP0A3SiAjp2IM3egHmlJck5G4eKTMlJ/view?usp=drivesdk", "29.3 MB")</f>
        <v>29.3 MB</v>
      </c>
    </row>
    <row r="35">
      <c r="A35" s="1" t="s">
        <v>75</v>
      </c>
      <c r="B35" s="1" t="s">
        <v>7</v>
      </c>
      <c r="C35" s="1" t="s">
        <v>76</v>
      </c>
      <c r="D35" s="1" t="s">
        <v>13</v>
      </c>
      <c r="E35" s="1" t="s">
        <v>16</v>
      </c>
      <c r="F35" s="3" t="str">
        <f>HYPERLINK("https://drive.google.com/file/d/1jL4S79KnTNIcM8Hs2QcFUaB48yoE3w5O/view?usp=drivesdk", "68.3 MB")</f>
        <v>68.3 MB</v>
      </c>
    </row>
    <row r="36">
      <c r="A36" s="1" t="s">
        <v>77</v>
      </c>
      <c r="B36" s="1" t="s">
        <v>7</v>
      </c>
      <c r="C36" s="1" t="s">
        <v>78</v>
      </c>
      <c r="D36" s="1" t="s">
        <v>13</v>
      </c>
      <c r="E36" s="1" t="s">
        <v>16</v>
      </c>
      <c r="F36" s="3" t="str">
        <f>HYPERLINK("https://drive.google.com/file/d/1FtBKFv3vlRZzK5DxHKbvzZ_s-KxdosEE/view?usp=drivesdk", "46.1 MB")</f>
        <v>46.1 MB</v>
      </c>
    </row>
    <row r="37">
      <c r="A37" s="1" t="s">
        <v>79</v>
      </c>
      <c r="B37" s="1" t="s">
        <v>7</v>
      </c>
      <c r="C37" s="1" t="s">
        <v>80</v>
      </c>
      <c r="D37" s="1" t="s">
        <v>9</v>
      </c>
      <c r="E37" s="1" t="s">
        <v>41</v>
      </c>
      <c r="F37" s="3" t="str">
        <f>HYPERLINK("https://drive.google.com/file/d/1dAQew9Q1Lp4XANfci--sLq45gOJSvjDX/view?usp=drivesdk", "23.2 MB")</f>
        <v>23.2 MB</v>
      </c>
    </row>
    <row r="38">
      <c r="A38" s="1" t="s">
        <v>81</v>
      </c>
      <c r="B38" s="1" t="s">
        <v>7</v>
      </c>
      <c r="C38" s="1" t="s">
        <v>82</v>
      </c>
      <c r="D38" s="1" t="s">
        <v>9</v>
      </c>
      <c r="E38" s="1" t="s">
        <v>41</v>
      </c>
      <c r="F38" s="3" t="str">
        <f>HYPERLINK("https://drive.google.com/file/d/1nJs4lGLmfiB4GW_png2yS_yN8zz2uT4_/view?usp=drivesdk", "21 MB")</f>
        <v>21 MB</v>
      </c>
    </row>
    <row r="39">
      <c r="A39" s="1" t="s">
        <v>83</v>
      </c>
      <c r="B39" s="1" t="s">
        <v>7</v>
      </c>
      <c r="C39" s="1" t="s">
        <v>84</v>
      </c>
      <c r="D39" s="1" t="s">
        <v>9</v>
      </c>
      <c r="E39" s="1" t="s">
        <v>10</v>
      </c>
      <c r="F39" s="3" t="str">
        <f>HYPERLINK("https://drive.google.com/file/d/1jn7GY0BC7rcUJ3zBCFHowFTg8oagTGN-/view?usp=drivesdk", "37.8 MB")</f>
        <v>37.8 MB</v>
      </c>
    </row>
    <row r="40">
      <c r="A40" s="1" t="s">
        <v>85</v>
      </c>
      <c r="B40" s="1" t="s">
        <v>7</v>
      </c>
      <c r="C40" s="1" t="s">
        <v>86</v>
      </c>
      <c r="D40" s="1" t="s">
        <v>9</v>
      </c>
      <c r="E40" s="1" t="s">
        <v>10</v>
      </c>
      <c r="F40" s="3" t="str">
        <f>HYPERLINK("https://drive.google.com/file/d/1t0aBITQx1_FrBuu1jyVKcwYDCnMQpzX6/view?usp=drivesdk", "17.6 MB")</f>
        <v>17.6 MB</v>
      </c>
    </row>
    <row r="41">
      <c r="A41" s="1" t="s">
        <v>87</v>
      </c>
      <c r="B41" s="1" t="s">
        <v>7</v>
      </c>
      <c r="C41" s="1" t="s">
        <v>88</v>
      </c>
      <c r="D41" s="1" t="s">
        <v>13</v>
      </c>
      <c r="E41" s="1" t="s">
        <v>10</v>
      </c>
      <c r="F41" s="3" t="str">
        <f>HYPERLINK("https://drive.google.com/file/d/1qKJUn_RFshqtzQ1RSlnbECwSUa4GrMTX/view?usp=drivesdk", "37 MB")</f>
        <v>37 MB</v>
      </c>
    </row>
    <row r="42">
      <c r="A42" s="1" t="s">
        <v>89</v>
      </c>
      <c r="B42" s="1" t="s">
        <v>7</v>
      </c>
      <c r="C42" s="1" t="s">
        <v>90</v>
      </c>
      <c r="D42" s="1" t="s">
        <v>13</v>
      </c>
      <c r="E42" s="1" t="s">
        <v>10</v>
      </c>
      <c r="F42" s="3" t="str">
        <f>HYPERLINK("https://drive.google.com/file/d/14cUGDrWDhnWpAlVk4SC4m6W_6rLXkFdD/view?usp=drivesdk", "37.7 MB")</f>
        <v>37.7 MB</v>
      </c>
    </row>
    <row r="43">
      <c r="A43" s="1" t="s">
        <v>91</v>
      </c>
      <c r="B43" s="1" t="s">
        <v>7</v>
      </c>
      <c r="C43" s="1" t="s">
        <v>92</v>
      </c>
      <c r="D43" s="1" t="s">
        <v>9</v>
      </c>
      <c r="E43" s="1" t="s">
        <v>93</v>
      </c>
      <c r="F43" s="3" t="str">
        <f>HYPERLINK("https://drive.google.com/file/d/18uQq9O_VGVJRoQ7TLBr7jhAATLJiPOY-/view?usp=drivesdk", "22.3 MB")</f>
        <v>22.3 MB</v>
      </c>
    </row>
    <row r="44">
      <c r="A44" s="1" t="s">
        <v>94</v>
      </c>
      <c r="B44" s="1" t="s">
        <v>7</v>
      </c>
      <c r="C44" s="1" t="s">
        <v>95</v>
      </c>
      <c r="D44" s="1" t="s">
        <v>9</v>
      </c>
      <c r="E44" s="1" t="s">
        <v>93</v>
      </c>
      <c r="F44" s="3" t="str">
        <f>HYPERLINK("https://drive.google.com/file/d/13qUwwLxJkp0nd5ReqmE_iQ64gPkNRjwJ/view?usp=drivesdk", "86.4 MB")</f>
        <v>86.4 MB</v>
      </c>
    </row>
    <row r="45">
      <c r="A45" s="1" t="s">
        <v>96</v>
      </c>
      <c r="B45" s="1" t="s">
        <v>7</v>
      </c>
      <c r="C45" s="1" t="s">
        <v>97</v>
      </c>
      <c r="D45" s="1" t="s">
        <v>13</v>
      </c>
      <c r="E45" s="1" t="s">
        <v>93</v>
      </c>
      <c r="F45" s="3" t="str">
        <f>HYPERLINK("https://drive.google.com/file/d/1o73kkN--cHPVR8iO_YskwxA4JkeLEJzV/view?usp=drivesdk", "19 MB")</f>
        <v>19 MB</v>
      </c>
    </row>
    <row r="46">
      <c r="A46" s="1" t="s">
        <v>98</v>
      </c>
      <c r="B46" s="1" t="s">
        <v>7</v>
      </c>
      <c r="C46" s="1" t="s">
        <v>99</v>
      </c>
      <c r="D46" s="1" t="s">
        <v>13</v>
      </c>
      <c r="E46" s="1" t="s">
        <v>93</v>
      </c>
      <c r="F46" s="3" t="str">
        <f>HYPERLINK("https://drive.google.com/file/d/1fa_0d-kp16mYrRX1dzkHnROo_P8zXUHD/view?usp=drivesdk", "21.9 MB")</f>
        <v>21.9 MB</v>
      </c>
    </row>
    <row r="47">
      <c r="A47" s="1" t="s">
        <v>100</v>
      </c>
      <c r="B47" s="1" t="s">
        <v>7</v>
      </c>
      <c r="C47" s="1" t="s">
        <v>101</v>
      </c>
      <c r="D47" s="1" t="s">
        <v>9</v>
      </c>
      <c r="E47" s="1" t="s">
        <v>16</v>
      </c>
      <c r="F47" s="3" t="str">
        <f t="shared" ref="F47:F49" si="1">HYPERLINK("https://drive.google.com/file/d/1-5yR8EsEOBRjFZMjZxgzDNszO93Wb48J/view?usp=drivesdk", "47.2 MB")</f>
        <v>47.2 MB</v>
      </c>
    </row>
    <row r="48">
      <c r="A48" s="1" t="s">
        <v>100</v>
      </c>
      <c r="B48" s="1" t="s">
        <v>7</v>
      </c>
      <c r="C48" s="1" t="s">
        <v>101</v>
      </c>
      <c r="D48" s="1" t="s">
        <v>9</v>
      </c>
      <c r="E48" s="1" t="s">
        <v>10</v>
      </c>
      <c r="F48" s="3" t="str">
        <f t="shared" si="1"/>
        <v>47.2 MB</v>
      </c>
    </row>
    <row r="49">
      <c r="A49" s="1" t="s">
        <v>100</v>
      </c>
      <c r="B49" s="1" t="s">
        <v>7</v>
      </c>
      <c r="C49" s="1" t="s">
        <v>101</v>
      </c>
      <c r="D49" s="1" t="s">
        <v>9</v>
      </c>
      <c r="E49" s="1" t="s">
        <v>41</v>
      </c>
      <c r="F49" s="3" t="str">
        <f t="shared" si="1"/>
        <v>47.2 MB</v>
      </c>
    </row>
    <row r="50">
      <c r="A50" s="1" t="s">
        <v>102</v>
      </c>
      <c r="B50" s="1" t="s">
        <v>7</v>
      </c>
      <c r="C50" s="1" t="s">
        <v>103</v>
      </c>
      <c r="D50" s="1" t="s">
        <v>13</v>
      </c>
      <c r="E50" s="1" t="s">
        <v>10</v>
      </c>
      <c r="F50" s="3" t="str">
        <f>HYPERLINK("https://drive.google.com/file/d/1QC51SGkthgpHCnPKurkquUpmrxz6IFv5/view?usp=drivesdk", "36 MB")</f>
        <v>36 MB</v>
      </c>
    </row>
    <row r="51">
      <c r="A51" s="1" t="s">
        <v>104</v>
      </c>
      <c r="B51" s="1" t="s">
        <v>7</v>
      </c>
      <c r="C51" s="1" t="s">
        <v>105</v>
      </c>
      <c r="D51" s="1" t="s">
        <v>9</v>
      </c>
      <c r="E51" s="1" t="s">
        <v>16</v>
      </c>
      <c r="F51" s="3" t="str">
        <f>HYPERLINK("https://drive.google.com/file/d/1Agx67y0ffvYUVEbNmnHlfNI9x93tfi7U/view?usp=drivesdk", "33.2 MB")</f>
        <v>33.2 MB</v>
      </c>
    </row>
    <row r="52">
      <c r="A52" s="1" t="s">
        <v>106</v>
      </c>
      <c r="B52" s="1" t="s">
        <v>7</v>
      </c>
      <c r="C52" s="1" t="s">
        <v>107</v>
      </c>
      <c r="D52" s="1" t="s">
        <v>9</v>
      </c>
      <c r="E52" s="1" t="s">
        <v>41</v>
      </c>
      <c r="F52" s="3" t="str">
        <f>HYPERLINK("https://drive.google.com/file/d/1a2Gzey7zQ5x-GV4UvKa-bh21b1sjnZ8a/view?usp=drivesdk", "41.3 MB")</f>
        <v>41.3 MB</v>
      </c>
    </row>
    <row r="53">
      <c r="A53" s="1" t="s">
        <v>108</v>
      </c>
      <c r="B53" s="1" t="s">
        <v>7</v>
      </c>
      <c r="C53" s="1" t="s">
        <v>109</v>
      </c>
      <c r="D53" s="1" t="s">
        <v>9</v>
      </c>
      <c r="E53" s="1" t="s">
        <v>10</v>
      </c>
      <c r="F53" s="3" t="str">
        <f>HYPERLINK("https://drive.google.com/file/d/1NmC1H2G6eiR03eliFpuzq8xokIjGGLZ3/view?usp=drivesdk", "68.1 MB")</f>
        <v>68.1 MB</v>
      </c>
    </row>
    <row r="54">
      <c r="A54" s="1" t="s">
        <v>110</v>
      </c>
      <c r="B54" s="1" t="s">
        <v>7</v>
      </c>
      <c r="C54" s="1" t="s">
        <v>111</v>
      </c>
      <c r="D54" s="1" t="s">
        <v>9</v>
      </c>
      <c r="E54" s="1" t="s">
        <v>16</v>
      </c>
      <c r="F54" s="3" t="str">
        <f>HYPERLINK("https://drive.google.com/file/d/1k0WwGL-lFMDafNGvxjBGANwGPdpqO7nn/view?usp=drivesdk", "17.7 MB")</f>
        <v>17.7 MB</v>
      </c>
    </row>
    <row r="55">
      <c r="A55" s="1" t="s">
        <v>112</v>
      </c>
      <c r="B55" s="1" t="s">
        <v>7</v>
      </c>
      <c r="C55" s="1" t="s">
        <v>113</v>
      </c>
      <c r="D55" s="1" t="s">
        <v>9</v>
      </c>
      <c r="E55" s="1" t="s">
        <v>41</v>
      </c>
      <c r="F55" s="3" t="str">
        <f>HYPERLINK("https://drive.google.com/file/d/1CjoC67IT2-ojwYggyft68ai0Qn1mus0c/view?usp=drivesdk", "18.3 MB")</f>
        <v>18.3 MB</v>
      </c>
    </row>
    <row r="56">
      <c r="A56" s="1" t="s">
        <v>114</v>
      </c>
      <c r="B56" s="1" t="s">
        <v>7</v>
      </c>
      <c r="C56" s="1" t="s">
        <v>115</v>
      </c>
      <c r="D56" s="1" t="s">
        <v>9</v>
      </c>
      <c r="E56" s="1" t="s">
        <v>41</v>
      </c>
      <c r="F56" s="3" t="str">
        <f>HYPERLINK("https://drive.google.com/file/d/1gLlRpZqBW_aLfKDOYWTg1fLLer3IMMGa/view?usp=drivesdk", "50.9 MB")</f>
        <v>50.9 MB</v>
      </c>
    </row>
    <row r="57">
      <c r="A57" s="1" t="s">
        <v>116</v>
      </c>
      <c r="B57" s="1" t="s">
        <v>7</v>
      </c>
      <c r="C57" s="1" t="s">
        <v>117</v>
      </c>
      <c r="D57" s="1" t="s">
        <v>9</v>
      </c>
      <c r="E57" s="1" t="s">
        <v>10</v>
      </c>
      <c r="F57" s="3" t="str">
        <f>HYPERLINK("https://drive.google.com/file/d/11D7cZZAEXVDgcDTGNU3QHlM8oJk90AAl/view?usp=drivesdk", "84.9 MB")</f>
        <v>84.9 MB</v>
      </c>
    </row>
    <row r="58">
      <c r="A58" s="1" t="s">
        <v>118</v>
      </c>
      <c r="B58" s="1" t="s">
        <v>7</v>
      </c>
      <c r="C58" s="1" t="s">
        <v>119</v>
      </c>
      <c r="D58" s="1" t="s">
        <v>9</v>
      </c>
      <c r="E58" s="1" t="s">
        <v>16</v>
      </c>
      <c r="F58" s="3" t="str">
        <f>HYPERLINK("https://drive.google.com/file/d/1jKV4PeiJUL_66hkrXdM8ER9xGEsJIbUM/view?usp=drivesdk", "45.5 MB")</f>
        <v>45.5 MB</v>
      </c>
    </row>
    <row r="59">
      <c r="A59" s="1" t="s">
        <v>120</v>
      </c>
      <c r="B59" s="1" t="s">
        <v>7</v>
      </c>
      <c r="C59" s="1" t="s">
        <v>121</v>
      </c>
      <c r="D59" s="1" t="s">
        <v>9</v>
      </c>
      <c r="E59" s="1" t="s">
        <v>41</v>
      </c>
      <c r="F59" s="3" t="str">
        <f>HYPERLINK("https://drive.google.com/file/d/1jhggq0TTcajtdfDglJU_yO_MXMVVeXpu/view?usp=drivesdk", "73.8 MB")</f>
        <v>73.8 MB</v>
      </c>
    </row>
    <row r="60">
      <c r="A60" s="1" t="s">
        <v>122</v>
      </c>
      <c r="B60" s="1" t="s">
        <v>7</v>
      </c>
      <c r="C60" s="1" t="s">
        <v>123</v>
      </c>
      <c r="D60" s="1" t="s">
        <v>9</v>
      </c>
      <c r="E60" s="1" t="s">
        <v>10</v>
      </c>
      <c r="F60" s="3" t="str">
        <f>HYPERLINK("https://drive.google.com/file/d/1OZPZZ-y6mcIccogwvEeT3c0kcGICbu5d/view?usp=drivesdk", "46.2 MB")</f>
        <v>46.2 MB</v>
      </c>
    </row>
    <row r="61">
      <c r="A61" s="1" t="s">
        <v>124</v>
      </c>
      <c r="B61" s="1" t="s">
        <v>7</v>
      </c>
      <c r="C61" s="1" t="s">
        <v>125</v>
      </c>
      <c r="D61" s="1" t="s">
        <v>9</v>
      </c>
      <c r="E61" s="1" t="s">
        <v>16</v>
      </c>
      <c r="F61" s="3" t="str">
        <f>HYPERLINK("https://drive.google.com/file/d/1K14DyS6Rc_w5hxnC69Gwx0rljqDbkf4x/view?usp=drivesdk", "51.2 MB")</f>
        <v>51.2 MB</v>
      </c>
    </row>
    <row r="62">
      <c r="A62" s="1" t="s">
        <v>126</v>
      </c>
      <c r="B62" s="1" t="s">
        <v>7</v>
      </c>
      <c r="C62" s="1" t="s">
        <v>127</v>
      </c>
      <c r="D62" s="1" t="s">
        <v>13</v>
      </c>
      <c r="E62" s="1" t="s">
        <v>16</v>
      </c>
      <c r="F62" s="3" t="str">
        <f>HYPERLINK("https://drive.google.com/file/d/1MOTXCsrarvlF8xmCCnLoCbFIc6Df0YW4/view?usp=drivesdk", "12 MB")</f>
        <v>12 MB</v>
      </c>
    </row>
    <row r="63">
      <c r="A63" s="1" t="s">
        <v>128</v>
      </c>
      <c r="B63" s="1" t="s">
        <v>7</v>
      </c>
      <c r="C63" s="1" t="s">
        <v>129</v>
      </c>
      <c r="D63" s="1" t="s">
        <v>9</v>
      </c>
      <c r="E63" s="1" t="s">
        <v>41</v>
      </c>
      <c r="F63" s="3" t="str">
        <f>HYPERLINK("https://drive.google.com/file/d/1r5xsYl4kyX45uh6IenSpFjyxuNlYPAeT/view?usp=drivesdk", "34.9 MB")</f>
        <v>34.9 MB</v>
      </c>
    </row>
    <row r="64">
      <c r="A64" s="1" t="s">
        <v>130</v>
      </c>
      <c r="B64" s="1" t="s">
        <v>7</v>
      </c>
      <c r="C64" s="1" t="s">
        <v>131</v>
      </c>
      <c r="D64" s="1" t="s">
        <v>9</v>
      </c>
      <c r="E64" s="1" t="s">
        <v>10</v>
      </c>
      <c r="F64" s="3" t="str">
        <f>HYPERLINK("https://drive.google.com/file/d/1pKVimAzufqbaUktAkm2VeHqLWFLWfOuy/view?usp=drivesdk", "64.5 MB")</f>
        <v>64.5 MB</v>
      </c>
    </row>
    <row r="65">
      <c r="A65" s="1" t="s">
        <v>132</v>
      </c>
      <c r="B65" s="1" t="s">
        <v>7</v>
      </c>
      <c r="C65" s="1" t="s">
        <v>133</v>
      </c>
      <c r="D65" s="1" t="s">
        <v>13</v>
      </c>
      <c r="E65" s="1" t="s">
        <v>10</v>
      </c>
      <c r="F65" s="3" t="str">
        <f>HYPERLINK("https://drive.google.com/file/d/1-8k4k19HPszHL-7yXvx6tH6E0TDTGr1Y/view?usp=drivesdk", "50.7 MB")</f>
        <v>50.7 MB</v>
      </c>
    </row>
    <row r="66">
      <c r="A66" s="1" t="s">
        <v>134</v>
      </c>
      <c r="B66" s="1" t="s">
        <v>7</v>
      </c>
      <c r="C66" s="1" t="s">
        <v>135</v>
      </c>
      <c r="D66" s="1" t="s">
        <v>9</v>
      </c>
      <c r="E66" s="1" t="s">
        <v>93</v>
      </c>
      <c r="F66" s="3" t="str">
        <f>HYPERLINK("https://drive.google.com/file/d/1gFgswwLexwkPNZToiQ6HV521RJ90NKI7/view?usp=drivesdk", "72.5 MB")</f>
        <v>72.5 MB</v>
      </c>
    </row>
    <row r="67">
      <c r="A67" s="1" t="s">
        <v>136</v>
      </c>
      <c r="B67" s="1" t="s">
        <v>7</v>
      </c>
      <c r="C67" s="1" t="s">
        <v>137</v>
      </c>
      <c r="D67" s="1" t="s">
        <v>13</v>
      </c>
      <c r="E67" s="1" t="s">
        <v>93</v>
      </c>
      <c r="F67" s="3" t="str">
        <f>HYPERLINK("https://drive.google.com/file/d/1aWYZIe0RI-bD6fxr4Szl2-gpb97uOKNL/view?usp=drivesdk", "81.5 MB")</f>
        <v>81.5 MB</v>
      </c>
    </row>
    <row r="68">
      <c r="A68" s="1" t="s">
        <v>138</v>
      </c>
      <c r="B68" s="1" t="s">
        <v>7</v>
      </c>
      <c r="C68" s="1" t="s">
        <v>139</v>
      </c>
      <c r="D68" s="1" t="s">
        <v>13</v>
      </c>
      <c r="E68" s="1" t="s">
        <v>93</v>
      </c>
      <c r="F68" s="3" t="str">
        <f>HYPERLINK("https://drive.google.com/file/d/1F1kLjkzElyFXmseJtCZuayrCT5S-D3oI/view?usp=drivesdk", "89.5 MB")</f>
        <v>89.5 MB</v>
      </c>
    </row>
    <row r="69">
      <c r="A69" s="1" t="s">
        <v>140</v>
      </c>
      <c r="B69" s="1" t="s">
        <v>7</v>
      </c>
      <c r="C69" s="1" t="s">
        <v>141</v>
      </c>
      <c r="D69" s="1" t="s">
        <v>13</v>
      </c>
      <c r="E69" s="1" t="s">
        <v>93</v>
      </c>
      <c r="F69" s="3" t="str">
        <f>HYPERLINK("https://drive.google.com/file/d/143LPV0eHqSQYOYcRDq4NuJSDDIZJlHZj/view?usp=drivesdk", "15.7 MB")</f>
        <v>15.7 MB</v>
      </c>
    </row>
    <row r="70">
      <c r="A70" s="1" t="s">
        <v>142</v>
      </c>
      <c r="B70" s="1" t="s">
        <v>7</v>
      </c>
      <c r="C70" s="1" t="s">
        <v>143</v>
      </c>
      <c r="D70" s="1" t="s">
        <v>13</v>
      </c>
      <c r="E70" s="1" t="s">
        <v>10</v>
      </c>
      <c r="F70" s="3" t="str">
        <f>HYPERLINK("https://drive.google.com/file/d/1_kpe_zpCj2n3ce19ujJ6zyB9jLSVDgd-/view?usp=drive_link", "82.4 MB")</f>
        <v>82.4 MB</v>
      </c>
    </row>
    <row r="71">
      <c r="A71" s="1" t="s">
        <v>144</v>
      </c>
      <c r="B71" s="1" t="s">
        <v>145</v>
      </c>
      <c r="C71" s="1" t="s">
        <v>146</v>
      </c>
      <c r="D71" s="1" t="s">
        <v>9</v>
      </c>
      <c r="E71" s="1" t="s">
        <v>10</v>
      </c>
      <c r="F71" s="3" t="str">
        <f>HYPERLINK("https://drive.google.com/file/d/1KYZezZsbde0GlewpOFJZsCJwb-KdnRdB/view?usp=drivesdk", "18.5 MB")</f>
        <v>18.5 MB</v>
      </c>
    </row>
    <row r="72">
      <c r="A72" s="1" t="s">
        <v>147</v>
      </c>
      <c r="B72" s="1" t="s">
        <v>145</v>
      </c>
      <c r="C72" s="1" t="s">
        <v>148</v>
      </c>
      <c r="D72" s="1" t="s">
        <v>13</v>
      </c>
      <c r="E72" s="1" t="s">
        <v>10</v>
      </c>
      <c r="F72" s="3" t="str">
        <f>HYPERLINK("https://drive.google.com/file/d/1FrZdNzAXBhT590whSYqNwKI44J_MQLfy/view?usp=drivesdk", "44.8 MB")</f>
        <v>44.8 MB</v>
      </c>
    </row>
    <row r="73">
      <c r="A73" s="1" t="s">
        <v>149</v>
      </c>
      <c r="B73" s="1" t="s">
        <v>145</v>
      </c>
      <c r="C73" s="1" t="s">
        <v>150</v>
      </c>
      <c r="D73" s="1" t="s">
        <v>9</v>
      </c>
      <c r="E73" s="1" t="s">
        <v>16</v>
      </c>
      <c r="F73" s="3" t="str">
        <f>HYPERLINK("https://drive.google.com/file/d/1HO2Uz3_YqK1N0QF518z3iY5ToOVBYCqr/view?usp=drivesdk", "26.2 MB")</f>
        <v>26.2 MB</v>
      </c>
    </row>
    <row r="74">
      <c r="A74" s="1" t="s">
        <v>151</v>
      </c>
      <c r="B74" s="1" t="s">
        <v>145</v>
      </c>
      <c r="C74" s="1" t="s">
        <v>152</v>
      </c>
      <c r="D74" s="1" t="s">
        <v>13</v>
      </c>
      <c r="E74" s="1" t="s">
        <v>16</v>
      </c>
      <c r="F74" s="3" t="str">
        <f>HYPERLINK("https://drive.google.com/file/d/13wcoKC7GFsy2c1BJsU1u4bIDNXmdfrPl/view?usp=drivesdk", "11 MB")</f>
        <v>11 MB</v>
      </c>
    </row>
    <row r="75">
      <c r="A75" s="1" t="s">
        <v>153</v>
      </c>
      <c r="B75" s="1" t="s">
        <v>145</v>
      </c>
      <c r="C75" s="1" t="s">
        <v>154</v>
      </c>
      <c r="D75" s="1" t="s">
        <v>13</v>
      </c>
      <c r="E75" s="1" t="s">
        <v>16</v>
      </c>
      <c r="F75" s="3" t="str">
        <f>HYPERLINK("https://drive.google.com/file/d/1rkxuukooIkHhyq-IFsgPyH2dq_wHvtc1/view?usp=drivesdk", "60.8 MB")</f>
        <v>60.8 MB</v>
      </c>
    </row>
    <row r="76">
      <c r="A76" s="1" t="s">
        <v>155</v>
      </c>
      <c r="B76" s="1" t="s">
        <v>145</v>
      </c>
      <c r="C76" s="1" t="s">
        <v>156</v>
      </c>
      <c r="D76" s="1" t="s">
        <v>13</v>
      </c>
      <c r="E76" s="1" t="s">
        <v>16</v>
      </c>
      <c r="F76" s="3" t="str">
        <f>HYPERLINK("https://drive.google.com/file/d/1z1C50SkAGLEmhFAlzBcA18uGQszO0oGD/view?usp=drive_link", "51.1 MB")</f>
        <v>51.1 MB</v>
      </c>
    </row>
    <row r="77">
      <c r="A77" s="1" t="s">
        <v>157</v>
      </c>
      <c r="B77" s="1" t="s">
        <v>145</v>
      </c>
      <c r="C77" s="1" t="s">
        <v>158</v>
      </c>
      <c r="D77" s="1" t="s">
        <v>9</v>
      </c>
      <c r="E77" s="1" t="s">
        <v>10</v>
      </c>
      <c r="F77" s="3" t="str">
        <f>HYPERLINK("https://drive.google.com/file/d/1XZM-AoTnioAE82IPL1-Y3fW1x5uSfSpf/view?usp=drivesdk", "16.7 MB")</f>
        <v>16.7 MB</v>
      </c>
    </row>
    <row r="78">
      <c r="A78" s="1" t="s">
        <v>159</v>
      </c>
      <c r="B78" s="1" t="s">
        <v>145</v>
      </c>
      <c r="C78" s="1" t="s">
        <v>160</v>
      </c>
      <c r="D78" s="1" t="s">
        <v>13</v>
      </c>
      <c r="E78" s="1" t="s">
        <v>10</v>
      </c>
      <c r="F78" s="3" t="str">
        <f>HYPERLINK("https://drive.google.com/file/d/1dXkWCVNjSzxfAzDqdizEAUfdak8iXpAc/view?usp=drivesdk", "41.7 MB")</f>
        <v>41.7 MB</v>
      </c>
    </row>
    <row r="79">
      <c r="A79" s="1" t="s">
        <v>161</v>
      </c>
      <c r="B79" s="1" t="s">
        <v>145</v>
      </c>
      <c r="C79" s="1" t="s">
        <v>162</v>
      </c>
      <c r="D79" s="1" t="s">
        <v>13</v>
      </c>
      <c r="E79" s="1" t="s">
        <v>10</v>
      </c>
      <c r="F79" s="3" t="str">
        <f>HYPERLINK("https://drive.google.com/file/d/1d35IZSqZFjiQ8WTNGEKkknfrOV_l_xnq/view?usp=drive_link", "41.7 MB")</f>
        <v>41.7 MB</v>
      </c>
    </row>
    <row r="80">
      <c r="A80" s="1" t="s">
        <v>163</v>
      </c>
      <c r="B80" s="1" t="s">
        <v>145</v>
      </c>
      <c r="C80" s="1" t="s">
        <v>164</v>
      </c>
      <c r="D80" s="1" t="s">
        <v>9</v>
      </c>
      <c r="E80" s="1" t="s">
        <v>10</v>
      </c>
      <c r="F80" s="3" t="str">
        <f>HYPERLINK("https://drive.google.com/file/d/12T-MO6DGf9JVX6PVQbBEo9uSNiKC9jHq/view?usp=drivesdk", "53.8 MB")</f>
        <v>53.8 MB</v>
      </c>
    </row>
    <row r="81">
      <c r="A81" s="1" t="s">
        <v>165</v>
      </c>
      <c r="B81" s="1" t="s">
        <v>145</v>
      </c>
      <c r="C81" s="1" t="s">
        <v>166</v>
      </c>
      <c r="D81" s="1" t="s">
        <v>13</v>
      </c>
      <c r="E81" s="1" t="s">
        <v>10</v>
      </c>
      <c r="F81" s="3" t="str">
        <f>HYPERLINK("https://drive.google.com/file/d/1fHdEkAXCEZkMsdSv-RfkTXGANmPNOiyK/view?usp=drivesdk", "23.5 MB")</f>
        <v>23.5 MB</v>
      </c>
    </row>
    <row r="82">
      <c r="A82" s="1" t="s">
        <v>167</v>
      </c>
      <c r="B82" s="1" t="s">
        <v>145</v>
      </c>
      <c r="C82" s="1" t="s">
        <v>168</v>
      </c>
      <c r="D82" s="1" t="s">
        <v>9</v>
      </c>
      <c r="E82" s="1" t="s">
        <v>10</v>
      </c>
      <c r="F82" s="3" t="str">
        <f>HYPERLINK("https://drive.google.com/file/d/1Nlc-GY76JVjeAtiEaxzr9c-4nkLjmbe8/view?usp=drivesdk", "23.7 MB")</f>
        <v>23.7 MB</v>
      </c>
    </row>
    <row r="83">
      <c r="A83" s="1" t="s">
        <v>169</v>
      </c>
      <c r="B83" s="1" t="s">
        <v>145</v>
      </c>
      <c r="C83" s="1" t="s">
        <v>170</v>
      </c>
      <c r="D83" s="1" t="s">
        <v>13</v>
      </c>
      <c r="E83" s="1" t="s">
        <v>10</v>
      </c>
      <c r="F83" s="3" t="str">
        <f>HYPERLINK("https://drive.google.com/file/d/1rst4KQ0Ry6UXjJbJBTckhx1XkCoKWefI/view?usp=drivesdk", "25.8 MB")</f>
        <v>25.8 MB</v>
      </c>
    </row>
    <row r="84">
      <c r="A84" s="1" t="s">
        <v>171</v>
      </c>
      <c r="B84" s="1" t="s">
        <v>145</v>
      </c>
      <c r="C84" s="1" t="s">
        <v>172</v>
      </c>
      <c r="D84" s="1" t="s">
        <v>13</v>
      </c>
      <c r="E84" s="1" t="s">
        <v>16</v>
      </c>
      <c r="F84" s="3" t="str">
        <f>HYPERLINK("https://drive.google.com/file/d/1Osj_lSSNDbGYlhWc2eyuE39w3zg-MJLz/view?usp=drivesdk", "69.5 MB")</f>
        <v>69.5 MB</v>
      </c>
    </row>
    <row r="85">
      <c r="A85" s="1" t="s">
        <v>173</v>
      </c>
      <c r="B85" s="1" t="s">
        <v>145</v>
      </c>
      <c r="C85" s="1" t="s">
        <v>172</v>
      </c>
      <c r="D85" s="1" t="s">
        <v>13</v>
      </c>
      <c r="E85" s="1" t="s">
        <v>41</v>
      </c>
      <c r="F85" s="3" t="str">
        <f>HYPERLINK("https://drive.google.com/file/d/1hitLQ3EiIOc1wQAmgM6en0tXqp9W6DGD/view?usp=drivesdk", "69.5 MB")</f>
        <v>69.5 MB</v>
      </c>
    </row>
    <row r="86">
      <c r="A86" s="1" t="s">
        <v>174</v>
      </c>
      <c r="B86" s="1" t="s">
        <v>145</v>
      </c>
      <c r="C86" s="1" t="s">
        <v>175</v>
      </c>
      <c r="D86" s="1" t="s">
        <v>13</v>
      </c>
      <c r="E86" s="1" t="s">
        <v>41</v>
      </c>
      <c r="F86" s="3" t="str">
        <f>HYPERLINK("https://drive.google.com/file/d/1Q9Pght523fetetG4M3A60OIgpim5T8jl/view?usp=drivesdk", "60.8 MB")</f>
        <v>60.8 MB</v>
      </c>
    </row>
    <row r="87">
      <c r="A87" s="1" t="s">
        <v>176</v>
      </c>
      <c r="B87" s="1" t="s">
        <v>145</v>
      </c>
      <c r="C87" s="1" t="s">
        <v>175</v>
      </c>
      <c r="D87" s="1" t="s">
        <v>13</v>
      </c>
      <c r="E87" s="1" t="s">
        <v>16</v>
      </c>
      <c r="F87" s="3" t="str">
        <f>HYPERLINK("https://drive.google.com/file/d/1X3JSMoguTI574Lc5CSP-36fVjdX4nfWj/view?usp=drivesdk", "60.8 MB")</f>
        <v>60.8 MB</v>
      </c>
    </row>
    <row r="88">
      <c r="A88" s="1" t="s">
        <v>177</v>
      </c>
      <c r="B88" s="1" t="s">
        <v>145</v>
      </c>
      <c r="C88" s="1" t="s">
        <v>178</v>
      </c>
      <c r="D88" s="1" t="s">
        <v>9</v>
      </c>
      <c r="E88" s="1" t="s">
        <v>41</v>
      </c>
      <c r="F88" s="3" t="str">
        <f>HYPERLINK("https://drive.google.com/file/d/1woXaNWjQLO1caxMEFYn9Z7soB6mog-qA/view?usp=drivesdk", "85.8 MB")</f>
        <v>85.8 MB</v>
      </c>
    </row>
    <row r="89">
      <c r="A89" s="1" t="s">
        <v>179</v>
      </c>
      <c r="B89" s="1" t="s">
        <v>145</v>
      </c>
      <c r="C89" s="1" t="s">
        <v>180</v>
      </c>
      <c r="D89" s="1" t="s">
        <v>9</v>
      </c>
      <c r="E89" s="1" t="s">
        <v>41</v>
      </c>
      <c r="F89" s="3" t="str">
        <f>HYPERLINK("https://drive.google.com/file/d/12oLg__DqfBuhpc-3NApkP3_yll1VERaJ/view?usp=drivesdk", "87.7 MB")</f>
        <v>87.7 MB</v>
      </c>
    </row>
    <row r="90">
      <c r="A90" s="1" t="s">
        <v>181</v>
      </c>
      <c r="B90" s="1" t="s">
        <v>145</v>
      </c>
      <c r="C90" s="1" t="s">
        <v>182</v>
      </c>
      <c r="D90" s="1" t="s">
        <v>9</v>
      </c>
      <c r="E90" s="1" t="s">
        <v>16</v>
      </c>
      <c r="F90" s="3" t="str">
        <f>HYPERLINK("https://drive.google.com/file/d/1sNUmqPDf-yE4uaBr07I7-VsoZGwX8RBc/view?usp=drivesdk", "73.4 MB")</f>
        <v>73.4 MB</v>
      </c>
    </row>
    <row r="91">
      <c r="A91" s="1" t="s">
        <v>183</v>
      </c>
      <c r="B91" s="1" t="s">
        <v>145</v>
      </c>
      <c r="C91" s="1" t="s">
        <v>184</v>
      </c>
      <c r="D91" s="1" t="s">
        <v>9</v>
      </c>
      <c r="E91" s="1" t="s">
        <v>16</v>
      </c>
      <c r="F91" s="3" t="str">
        <f>HYPERLINK("https://drive.google.com/file/d/1961kfKJVxj2zEPOl2YPDFo142SQ-0eK5/view?usp=drivesdk", "97.5 MB")</f>
        <v>97.5 MB</v>
      </c>
    </row>
    <row r="92">
      <c r="A92" s="1" t="s">
        <v>185</v>
      </c>
      <c r="B92" s="1" t="s">
        <v>145</v>
      </c>
      <c r="C92" s="1" t="s">
        <v>186</v>
      </c>
      <c r="D92" s="1" t="s">
        <v>9</v>
      </c>
      <c r="E92" s="1" t="s">
        <v>16</v>
      </c>
      <c r="F92" s="3" t="str">
        <f>HYPERLINK("https://drive.google.com/file/d/1BDKuNqM59SNNRFyVxGoJklKVfnNksqgm/view?usp=drivesdk", "87.7 MB")</f>
        <v>87.7 MB</v>
      </c>
    </row>
    <row r="93">
      <c r="A93" s="1" t="s">
        <v>187</v>
      </c>
      <c r="B93" s="1" t="s">
        <v>145</v>
      </c>
      <c r="C93" s="1" t="s">
        <v>188</v>
      </c>
      <c r="D93" s="1" t="s">
        <v>13</v>
      </c>
      <c r="E93" s="1" t="s">
        <v>16</v>
      </c>
      <c r="F93" s="3" t="str">
        <f>HYPERLINK("https://drive.google.com/file/d/1ryW7lT2lDKxbEYmbOOq6C179_W9ewHkI/view?usp=drivesdk", "69.9 MB")</f>
        <v>69.9 MB</v>
      </c>
    </row>
    <row r="94">
      <c r="A94" s="1" t="s">
        <v>189</v>
      </c>
      <c r="B94" s="1" t="s">
        <v>145</v>
      </c>
      <c r="C94" s="1" t="s">
        <v>188</v>
      </c>
      <c r="D94" s="1" t="s">
        <v>13</v>
      </c>
      <c r="E94" s="1" t="s">
        <v>41</v>
      </c>
      <c r="F94" s="3" t="str">
        <f>HYPERLINK("https://drive.google.com/file/d/1aI8WrJByPz7Ucg5DgMPpI8EDkgz1olPD/view?usp=drivesdk", "69.9 MB")</f>
        <v>69.9 MB</v>
      </c>
    </row>
    <row r="95">
      <c r="A95" s="1" t="s">
        <v>190</v>
      </c>
      <c r="B95" s="1" t="s">
        <v>145</v>
      </c>
      <c r="C95" s="1" t="s">
        <v>191</v>
      </c>
      <c r="D95" s="1" t="s">
        <v>9</v>
      </c>
      <c r="E95" s="1" t="s">
        <v>10</v>
      </c>
      <c r="F95" s="3" t="str">
        <f>HYPERLINK("https://drive.google.com/file/d/1Gu9efaTSFHgl7dxHFWQMy4KK1oXExrIQ/view?usp=drivesdk", "39.6 MB")</f>
        <v>39.6 MB</v>
      </c>
    </row>
    <row r="96">
      <c r="A96" s="1" t="s">
        <v>192</v>
      </c>
      <c r="B96" s="1" t="s">
        <v>145</v>
      </c>
      <c r="C96" s="1" t="s">
        <v>193</v>
      </c>
      <c r="D96" s="1" t="s">
        <v>9</v>
      </c>
      <c r="E96" s="1" t="s">
        <v>10</v>
      </c>
      <c r="F96" s="3" t="str">
        <f>HYPERLINK("https://drive.google.com/file/d/1EoaFecPhwY70AwN689CRnxeEnQrJJtrY/view?usp=drivesdk", "39.4 MB")</f>
        <v>39.4 MB</v>
      </c>
    </row>
    <row r="97">
      <c r="A97" s="1" t="s">
        <v>194</v>
      </c>
      <c r="B97" s="1" t="s">
        <v>145</v>
      </c>
      <c r="C97" s="1" t="s">
        <v>195</v>
      </c>
      <c r="D97" s="1" t="s">
        <v>13</v>
      </c>
      <c r="E97" s="1" t="s">
        <v>10</v>
      </c>
      <c r="F97" s="3" t="str">
        <f>HYPERLINK("https://drive.google.com/file/d/1hIVRVaz9ZTZ6yhL5-hFxzBGcfMxN3Eft/view?usp=drivesdk", "29.8 MB")</f>
        <v>29.8 MB</v>
      </c>
    </row>
    <row r="98">
      <c r="A98" s="1" t="s">
        <v>196</v>
      </c>
      <c r="B98" s="1" t="s">
        <v>145</v>
      </c>
      <c r="C98" s="1" t="s">
        <v>197</v>
      </c>
      <c r="D98" s="1" t="s">
        <v>13</v>
      </c>
      <c r="E98" s="1" t="s">
        <v>10</v>
      </c>
      <c r="F98" s="3" t="str">
        <f>HYPERLINK("https://drive.google.com/file/d/1reuXHOluTb7f6g5GUvQmJJHvovM_bfTl/view?usp=drivesdk", "36 MB")</f>
        <v>36 MB</v>
      </c>
    </row>
    <row r="99">
      <c r="A99" s="1" t="s">
        <v>198</v>
      </c>
      <c r="B99" s="1" t="s">
        <v>145</v>
      </c>
      <c r="C99" s="1" t="s">
        <v>199</v>
      </c>
      <c r="D99" s="1" t="s">
        <v>9</v>
      </c>
      <c r="E99" s="1" t="s">
        <v>10</v>
      </c>
      <c r="F99" s="3" t="str">
        <f>HYPERLINK("https://drive.google.com/file/d/1y-CTL9TTbRQPKYo0veL0TbALXFTVJcAZ/view?usp=drivesdk", "38.5 MB")</f>
        <v>38.5 MB</v>
      </c>
    </row>
    <row r="100">
      <c r="A100" s="1" t="s">
        <v>200</v>
      </c>
      <c r="B100" s="1" t="s">
        <v>145</v>
      </c>
      <c r="C100" s="1" t="s">
        <v>201</v>
      </c>
      <c r="D100" s="1" t="s">
        <v>13</v>
      </c>
      <c r="E100" s="1" t="s">
        <v>10</v>
      </c>
      <c r="F100" s="3" t="str">
        <f>HYPERLINK("https://drive.google.com/file/d/19UI9qeaaDfhbUAr_OKSOkW-BvHjUL3qr/view?usp=drivesdk", "29.6 MB")</f>
        <v>29.6 MB</v>
      </c>
    </row>
    <row r="101">
      <c r="A101" s="1" t="s">
        <v>202</v>
      </c>
      <c r="B101" s="1" t="s">
        <v>145</v>
      </c>
      <c r="C101" s="1" t="s">
        <v>203</v>
      </c>
      <c r="D101" s="1" t="s">
        <v>9</v>
      </c>
      <c r="E101" s="1" t="s">
        <v>41</v>
      </c>
      <c r="F101" s="3" t="str">
        <f>HYPERLINK("https://drive.google.com/file/d/1mS71PwMNqiazi3fhjEypeMPFpX9__Pwj/view?usp=drivesdk", "65.8 MB")</f>
        <v>65.8 MB</v>
      </c>
    </row>
    <row r="102">
      <c r="A102" s="1" t="s">
        <v>204</v>
      </c>
      <c r="B102" s="1" t="s">
        <v>145</v>
      </c>
      <c r="C102" s="1" t="s">
        <v>205</v>
      </c>
      <c r="D102" s="1" t="s">
        <v>13</v>
      </c>
      <c r="E102" s="1" t="s">
        <v>41</v>
      </c>
      <c r="F102" s="3" t="str">
        <f>HYPERLINK("https://drive.google.com/file/d/1X29pc0FUN2bn6q0nwMUT0xe9opMQSdIw/view?usp=drivesdk", "18.6 MB")</f>
        <v>18.6 MB</v>
      </c>
    </row>
    <row r="103">
      <c r="A103" s="1" t="s">
        <v>206</v>
      </c>
      <c r="B103" s="1" t="s">
        <v>145</v>
      </c>
      <c r="C103" s="1" t="s">
        <v>207</v>
      </c>
      <c r="D103" s="1" t="s">
        <v>13</v>
      </c>
      <c r="E103" s="1" t="s">
        <v>41</v>
      </c>
      <c r="F103" s="3" t="str">
        <f>HYPERLINK("https://drive.google.com/file/d/1BQY6uHHoL-2lmSTQLc4teXO42q5ilua6/view?usp=drivesdk", "16.8 MB")</f>
        <v>16.8 MB</v>
      </c>
    </row>
    <row r="104">
      <c r="A104" s="1" t="s">
        <v>208</v>
      </c>
      <c r="B104" s="1" t="s">
        <v>145</v>
      </c>
      <c r="C104" s="1" t="s">
        <v>209</v>
      </c>
      <c r="D104" s="1" t="s">
        <v>9</v>
      </c>
      <c r="E104" s="1" t="s">
        <v>10</v>
      </c>
      <c r="F104" s="3" t="str">
        <f>HYPERLINK("https://drive.google.com/file/d/12gzIVd51qDHZw9981m8JivN9upRUzR8e/view?usp=drivesdk", "51.9 MB")</f>
        <v>51.9 MB</v>
      </c>
    </row>
    <row r="105">
      <c r="A105" s="1" t="s">
        <v>210</v>
      </c>
      <c r="B105" s="1" t="s">
        <v>145</v>
      </c>
      <c r="C105" s="1" t="s">
        <v>211</v>
      </c>
      <c r="D105" s="1" t="s">
        <v>13</v>
      </c>
      <c r="E105" s="1" t="s">
        <v>10</v>
      </c>
      <c r="F105" s="3" t="str">
        <f>HYPERLINK("https://drive.google.com/file/d/1vuLPU4vsUwXD6STRyBWcGoVv7-BZrHEa/view?usp=drivesdk", "66.3 MB")</f>
        <v>66.3 MB</v>
      </c>
    </row>
    <row r="106">
      <c r="A106" s="1" t="s">
        <v>212</v>
      </c>
      <c r="B106" s="1" t="s">
        <v>145</v>
      </c>
      <c r="C106" s="1" t="s">
        <v>213</v>
      </c>
      <c r="D106" s="1" t="s">
        <v>9</v>
      </c>
      <c r="E106" s="1" t="s">
        <v>16</v>
      </c>
      <c r="F106" s="3" t="str">
        <f>HYPERLINK("https://drive.google.com/file/d/1ie1VezmCj3cuj75oZ8hGZXIq_8igX_05/view?usp=drivesdk", "48.2 MB")</f>
        <v>48.2 MB</v>
      </c>
    </row>
    <row r="107">
      <c r="A107" s="1" t="s">
        <v>214</v>
      </c>
      <c r="B107" s="1" t="s">
        <v>145</v>
      </c>
      <c r="C107" s="1" t="s">
        <v>215</v>
      </c>
      <c r="D107" s="1" t="s">
        <v>9</v>
      </c>
      <c r="E107" s="1" t="s">
        <v>16</v>
      </c>
      <c r="F107" s="3" t="str">
        <f>HYPERLINK("https://drive.google.com/file/d/1J1RunRR0-k9DY8CgiIe-W0H8KUAaqDJT/view?usp=drivesdk", "42.8 MB")</f>
        <v>42.8 MB</v>
      </c>
    </row>
    <row r="108">
      <c r="A108" s="1" t="s">
        <v>216</v>
      </c>
      <c r="B108" s="1" t="s">
        <v>145</v>
      </c>
      <c r="C108" s="1" t="s">
        <v>217</v>
      </c>
      <c r="D108" s="1" t="s">
        <v>13</v>
      </c>
      <c r="E108" s="1" t="s">
        <v>16</v>
      </c>
      <c r="F108" s="3" t="str">
        <f>HYPERLINK("https://drive.google.com/file/d/1gN9KMzdNlFHj605AiCICapWztw9hxZlw/view?usp=drivesdk", "51.8 MB")</f>
        <v>51.8 MB</v>
      </c>
    </row>
    <row r="109">
      <c r="A109" s="1" t="s">
        <v>218</v>
      </c>
      <c r="B109" s="1" t="s">
        <v>145</v>
      </c>
      <c r="C109" s="1" t="s">
        <v>219</v>
      </c>
      <c r="D109" s="1" t="s">
        <v>13</v>
      </c>
      <c r="E109" s="1" t="s">
        <v>41</v>
      </c>
      <c r="F109" s="3" t="str">
        <f>HYPERLINK("https://drive.google.com/file/d/19dajR-EdQvyJviWn6C_NStDtKpAmwhQN/view?usp=drivesdk", "19.9 MB")</f>
        <v>19.9 MB</v>
      </c>
    </row>
    <row r="110">
      <c r="A110" s="1" t="s">
        <v>220</v>
      </c>
      <c r="B110" s="1" t="s">
        <v>145</v>
      </c>
      <c r="C110" s="1" t="s">
        <v>221</v>
      </c>
      <c r="D110" s="1" t="s">
        <v>9</v>
      </c>
      <c r="E110" s="1" t="s">
        <v>41</v>
      </c>
      <c r="F110" s="3" t="str">
        <f>HYPERLINK("https://drive.google.com/file/d/1SwWL4xcxQJivBP_171zGR70Pw8GhXV8E/view?usp=drivesdk", "24.3 MB")</f>
        <v>24.3 MB</v>
      </c>
    </row>
    <row r="111">
      <c r="A111" s="1" t="s">
        <v>222</v>
      </c>
      <c r="B111" s="1" t="s">
        <v>145</v>
      </c>
      <c r="C111" s="1" t="s">
        <v>223</v>
      </c>
      <c r="D111" s="1" t="s">
        <v>9</v>
      </c>
      <c r="E111" s="1" t="s">
        <v>41</v>
      </c>
      <c r="F111" s="3" t="str">
        <f>HYPERLINK("https://drive.google.com/file/d/1J4FJFmZV9l98rhPVWOoAiQ3kjpB_4wEa/view?usp=drivesdk", "86 MB")</f>
        <v>86 MB</v>
      </c>
    </row>
    <row r="112">
      <c r="A112" s="1" t="s">
        <v>224</v>
      </c>
      <c r="B112" s="1" t="s">
        <v>145</v>
      </c>
      <c r="C112" s="1" t="s">
        <v>225</v>
      </c>
      <c r="D112" s="1" t="s">
        <v>9</v>
      </c>
      <c r="E112" s="1" t="s">
        <v>10</v>
      </c>
      <c r="F112" s="3" t="str">
        <f>HYPERLINK("https://drive.google.com/file/d/14GWzw-7Qpamx1VNEp7nW6MzDsWbES97-/view?usp=drivesdk", "34.1 MB")</f>
        <v>34.1 MB</v>
      </c>
    </row>
    <row r="113">
      <c r="A113" s="1" t="s">
        <v>226</v>
      </c>
      <c r="B113" s="1" t="s">
        <v>145</v>
      </c>
      <c r="C113" s="1" t="s">
        <v>227</v>
      </c>
      <c r="D113" s="1" t="s">
        <v>9</v>
      </c>
      <c r="E113" s="1" t="s">
        <v>10</v>
      </c>
      <c r="F113" s="3" t="str">
        <f>HYPERLINK("https://drive.google.com/file/d/1-kuC_C2tVYW_Wz1boPmkM0u05JEetTtN/view?usp=drivesdk", "21.6 MB")</f>
        <v>21.6 MB</v>
      </c>
    </row>
    <row r="114">
      <c r="A114" s="1" t="s">
        <v>228</v>
      </c>
      <c r="B114" s="1" t="s">
        <v>145</v>
      </c>
      <c r="C114" s="1" t="s">
        <v>229</v>
      </c>
      <c r="D114" s="1" t="s">
        <v>13</v>
      </c>
      <c r="E114" s="1" t="s">
        <v>10</v>
      </c>
      <c r="F114" s="3" t="str">
        <f>HYPERLINK("https://drive.google.com/file/d/1ICf884cCtvVyG_asNAXVkpiBKgmlGrgV/view?usp=drivesdk", "64 MB")</f>
        <v>64 MB</v>
      </c>
    </row>
    <row r="115">
      <c r="A115" s="1" t="s">
        <v>230</v>
      </c>
      <c r="B115" s="1" t="s">
        <v>145</v>
      </c>
      <c r="C115" s="1" t="s">
        <v>231</v>
      </c>
      <c r="D115" s="1" t="s">
        <v>9</v>
      </c>
      <c r="E115" s="1" t="s">
        <v>93</v>
      </c>
      <c r="F115" s="3" t="str">
        <f>HYPERLINK("https://drive.google.com/file/d/1CRl1IUjmDanQLXdR1_l0Ycuj9cEjEmYs/view?usp=drivesdk", "43.6 MB")</f>
        <v>43.6 MB</v>
      </c>
    </row>
    <row r="116">
      <c r="A116" s="1" t="s">
        <v>232</v>
      </c>
      <c r="B116" s="1" t="s">
        <v>145</v>
      </c>
      <c r="C116" s="1" t="s">
        <v>233</v>
      </c>
      <c r="D116" s="1" t="s">
        <v>9</v>
      </c>
      <c r="E116" s="1" t="s">
        <v>93</v>
      </c>
      <c r="F116" s="3" t="str">
        <f>HYPERLINK("https://drive.google.com/file/d/16Yij83FWAv3RjOuADVTwf4ohpP8Vmz88/view?usp=drivesdk", "91.7 MB")</f>
        <v>91.7 MB</v>
      </c>
    </row>
    <row r="117">
      <c r="A117" s="1" t="s">
        <v>234</v>
      </c>
      <c r="B117" s="1" t="s">
        <v>145</v>
      </c>
      <c r="C117" s="1" t="s">
        <v>235</v>
      </c>
      <c r="D117" s="1" t="s">
        <v>13</v>
      </c>
      <c r="E117" s="1" t="s">
        <v>93</v>
      </c>
      <c r="F117" s="3" t="str">
        <f>HYPERLINK("https://drive.google.com/file/d/1XuHTS3lNH_GZKybyQbwwuo2uYdW_z-_K/view?usp=drivesdk", "40.5 MB")</f>
        <v>40.5 MB</v>
      </c>
    </row>
    <row r="118">
      <c r="A118" s="1" t="s">
        <v>236</v>
      </c>
      <c r="B118" s="1" t="s">
        <v>145</v>
      </c>
      <c r="C118" s="1" t="s">
        <v>237</v>
      </c>
      <c r="D118" s="1" t="s">
        <v>9</v>
      </c>
      <c r="E118" s="1" t="s">
        <v>16</v>
      </c>
      <c r="F118" s="3" t="str">
        <f>HYPERLINK("https://drive.google.com/file/d/15XlkcmNWDB6Jq4pzFi-5eTj7Hwqqbedq/view?usp=drivesdk", "41.7 MB")</f>
        <v>41.7 MB</v>
      </c>
    </row>
    <row r="119">
      <c r="A119" s="1" t="s">
        <v>238</v>
      </c>
      <c r="B119" s="1" t="s">
        <v>145</v>
      </c>
      <c r="C119" s="1" t="s">
        <v>239</v>
      </c>
      <c r="D119" s="1" t="s">
        <v>9</v>
      </c>
      <c r="E119" s="1" t="s">
        <v>41</v>
      </c>
      <c r="F119" s="3" t="str">
        <f>HYPERLINK("https://drive.google.com/file/d/1Bx0TxTxSznJCZ2gcRzIWMr_lnS248Rte/view?usp=drivesdk", "23.3 MB")</f>
        <v>23.3 MB</v>
      </c>
    </row>
    <row r="120">
      <c r="A120" s="1" t="s">
        <v>240</v>
      </c>
      <c r="B120" s="1" t="s">
        <v>145</v>
      </c>
      <c r="C120" s="1" t="s">
        <v>241</v>
      </c>
      <c r="D120" s="1" t="s">
        <v>9</v>
      </c>
      <c r="E120" s="1" t="s">
        <v>10</v>
      </c>
      <c r="F120" s="3" t="str">
        <f>HYPERLINK("https://drive.google.com/file/d/1oCQPrrL9MqMFWLdxDDMRAr2J4-9-aSfO/view?usp=drivesdk", "92.5 MB")</f>
        <v>92.5 MB</v>
      </c>
    </row>
    <row r="121">
      <c r="A121" s="1" t="s">
        <v>242</v>
      </c>
      <c r="B121" s="1" t="s">
        <v>145</v>
      </c>
      <c r="C121" s="1" t="s">
        <v>243</v>
      </c>
      <c r="D121" s="1" t="s">
        <v>9</v>
      </c>
      <c r="E121" s="1" t="s">
        <v>10</v>
      </c>
      <c r="F121" s="3" t="str">
        <f>HYPERLINK("https://drive.google.com/file/d/14MrwMCMdz32W45NzYu3KGqCmShJw0_8r/view?usp=drivesdk", "44.3 MB")</f>
        <v>44.3 MB</v>
      </c>
    </row>
    <row r="122">
      <c r="A122" s="1" t="s">
        <v>244</v>
      </c>
      <c r="B122" s="1" t="s">
        <v>145</v>
      </c>
      <c r="C122" s="1" t="s">
        <v>245</v>
      </c>
      <c r="D122" s="1" t="s">
        <v>9</v>
      </c>
      <c r="E122" s="1" t="s">
        <v>16</v>
      </c>
      <c r="F122" s="3" t="str">
        <f t="shared" ref="F122:F124" si="2">HYPERLINK("https://drive.google.com/file/d/1x9baqVxn91q1lXATn50RiT9TJIoUPl-2/view?usp=drivesdk", "20.9 MB")</f>
        <v>20.9 MB</v>
      </c>
    </row>
    <row r="123">
      <c r="A123" s="1" t="s">
        <v>244</v>
      </c>
      <c r="B123" s="1" t="s">
        <v>145</v>
      </c>
      <c r="C123" s="1" t="s">
        <v>245</v>
      </c>
      <c r="D123" s="1" t="s">
        <v>9</v>
      </c>
      <c r="E123" s="1" t="s">
        <v>10</v>
      </c>
      <c r="F123" s="3" t="str">
        <f t="shared" si="2"/>
        <v>20.9 MB</v>
      </c>
    </row>
    <row r="124">
      <c r="A124" s="1" t="s">
        <v>244</v>
      </c>
      <c r="B124" s="1" t="s">
        <v>145</v>
      </c>
      <c r="C124" s="1" t="s">
        <v>245</v>
      </c>
      <c r="D124" s="1" t="s">
        <v>9</v>
      </c>
      <c r="E124" s="1" t="s">
        <v>41</v>
      </c>
      <c r="F124" s="3" t="str">
        <f t="shared" si="2"/>
        <v>20.9 MB</v>
      </c>
    </row>
    <row r="125">
      <c r="A125" s="1" t="s">
        <v>246</v>
      </c>
      <c r="B125" s="1" t="s">
        <v>145</v>
      </c>
      <c r="C125" s="1" t="s">
        <v>247</v>
      </c>
      <c r="D125" s="1" t="s">
        <v>13</v>
      </c>
      <c r="E125" s="1" t="s">
        <v>10</v>
      </c>
      <c r="F125" s="3" t="str">
        <f>HYPERLINK("https://drive.google.com/file/d/1PJPdFNTuEJsimRX2v6CENWnOcn-8Bdbm/view?usp=drivesdk", "23.9 MB")</f>
        <v>23.9 MB</v>
      </c>
    </row>
    <row r="126">
      <c r="A126" s="1" t="s">
        <v>248</v>
      </c>
      <c r="B126" s="1" t="s">
        <v>145</v>
      </c>
      <c r="C126" s="1" t="s">
        <v>249</v>
      </c>
      <c r="D126" s="1" t="s">
        <v>9</v>
      </c>
      <c r="E126" s="1" t="s">
        <v>16</v>
      </c>
      <c r="F126" s="3" t="str">
        <f>HYPERLINK("https://drive.google.com/file/d/11G5qHIvdBQzBNTtS5qvK9ZN_B1wUZ151/view?usp=drivesdk", "25.4 MB")</f>
        <v>25.4 MB</v>
      </c>
    </row>
    <row r="127">
      <c r="A127" s="1" t="s">
        <v>250</v>
      </c>
      <c r="B127" s="1" t="s">
        <v>145</v>
      </c>
      <c r="C127" s="1" t="s">
        <v>251</v>
      </c>
      <c r="D127" s="1" t="s">
        <v>9</v>
      </c>
      <c r="E127" s="1" t="s">
        <v>41</v>
      </c>
      <c r="F127" s="3" t="str">
        <f>HYPERLINK("https://drive.google.com/file/d/1nw6ritzf5j9oFvU6nB8AVCfYiQyyHiM_/view?usp=drivesdk", "43.4 MB")</f>
        <v>43.4 MB</v>
      </c>
    </row>
    <row r="128">
      <c r="A128" s="1" t="s">
        <v>252</v>
      </c>
      <c r="B128" s="1" t="s">
        <v>145</v>
      </c>
      <c r="C128" s="1" t="s">
        <v>253</v>
      </c>
      <c r="D128" s="1" t="s">
        <v>9</v>
      </c>
      <c r="E128" s="1" t="s">
        <v>10</v>
      </c>
      <c r="F128" s="3" t="str">
        <f>HYPERLINK("https://drive.google.com/file/d/1TeuZwPad4s27_HPnenmkLCa3Avfgkcyr/view?usp=drivesdk", "40.5 MB")</f>
        <v>40.5 MB</v>
      </c>
    </row>
    <row r="129">
      <c r="A129" s="1" t="s">
        <v>254</v>
      </c>
      <c r="B129" s="1" t="s">
        <v>145</v>
      </c>
      <c r="C129" s="1" t="s">
        <v>255</v>
      </c>
      <c r="D129" s="1" t="s">
        <v>9</v>
      </c>
      <c r="E129" s="1" t="s">
        <v>16</v>
      </c>
      <c r="F129" s="3" t="str">
        <f>HYPERLINK("https://drive.google.com/file/d/1auR1jUZ5pkPFtPzIqHydQESAo_GaFVsB/view?usp=drivesdk", "47.7 MB")</f>
        <v>47.7 MB</v>
      </c>
    </row>
    <row r="130">
      <c r="A130" s="1" t="s">
        <v>256</v>
      </c>
      <c r="B130" s="1" t="s">
        <v>145</v>
      </c>
      <c r="C130" s="1" t="s">
        <v>257</v>
      </c>
      <c r="D130" s="1" t="s">
        <v>9</v>
      </c>
      <c r="E130" s="1" t="s">
        <v>41</v>
      </c>
      <c r="F130" s="3" t="str">
        <f>HYPERLINK("https://drive.google.com/file/d/19fv-yGBTE7Dj6hOKUUb03e21y4amomdu/view?usp=drivesdk", "30 MB")</f>
        <v>30 MB</v>
      </c>
    </row>
    <row r="131">
      <c r="A131" s="1" t="s">
        <v>258</v>
      </c>
      <c r="B131" s="1" t="s">
        <v>145</v>
      </c>
      <c r="C131" s="1" t="s">
        <v>259</v>
      </c>
      <c r="D131" s="1" t="s">
        <v>9</v>
      </c>
      <c r="E131" s="1" t="s">
        <v>10</v>
      </c>
      <c r="F131" s="3" t="str">
        <f>HYPERLINK("https://drive.google.com/file/d/15tsnl2uPYml9bzOZzlgg08Xx4ly4Lhux/view?usp=drivesdk", "48.1 MB")</f>
        <v>48.1 MB</v>
      </c>
    </row>
    <row r="132">
      <c r="A132" s="1" t="s">
        <v>260</v>
      </c>
      <c r="B132" s="1" t="s">
        <v>145</v>
      </c>
      <c r="C132" s="1" t="s">
        <v>261</v>
      </c>
      <c r="D132" s="1" t="s">
        <v>9</v>
      </c>
      <c r="E132" s="1" t="s">
        <v>16</v>
      </c>
      <c r="F132" s="3" t="str">
        <f>HYPERLINK("https://drive.google.com/file/d/1QldjBmFl27sDatgV_yICdXhVb8DS5JjI/view?usp=drivesdk", "44 MB")</f>
        <v>44 MB</v>
      </c>
    </row>
    <row r="133">
      <c r="A133" s="1" t="s">
        <v>262</v>
      </c>
      <c r="B133" s="1" t="s">
        <v>145</v>
      </c>
      <c r="C133" s="1" t="s">
        <v>263</v>
      </c>
      <c r="D133" s="1" t="s">
        <v>13</v>
      </c>
      <c r="E133" s="1" t="s">
        <v>16</v>
      </c>
      <c r="F133" s="3" t="str">
        <f>HYPERLINK("https://drive.google.com/file/d/13e0SEjsBsCDU3-FfdkSAMuZc2wCVXF5p/view?usp=drivesdk", "17.2 MB")</f>
        <v>17.2 MB</v>
      </c>
    </row>
    <row r="134">
      <c r="A134" s="1" t="s">
        <v>264</v>
      </c>
      <c r="B134" s="1" t="s">
        <v>145</v>
      </c>
      <c r="C134" s="1" t="s">
        <v>265</v>
      </c>
      <c r="D134" s="1" t="s">
        <v>9</v>
      </c>
      <c r="E134" s="1" t="s">
        <v>41</v>
      </c>
      <c r="F134" s="3" t="str">
        <f>HYPERLINK("https://drive.google.com/file/d/1MCkI2KMCX5r4zKtrPcyRTQn2XC0Htego/view?usp=drivesdk", "48.4 MB")</f>
        <v>48.4 MB</v>
      </c>
    </row>
    <row r="135">
      <c r="A135" s="1" t="s">
        <v>266</v>
      </c>
      <c r="B135" s="1" t="s">
        <v>145</v>
      </c>
      <c r="C135" s="1" t="s">
        <v>267</v>
      </c>
      <c r="D135" s="1" t="s">
        <v>13</v>
      </c>
      <c r="E135" s="1" t="s">
        <v>41</v>
      </c>
      <c r="F135" s="3" t="str">
        <f>HYPERLINK("https://drive.google.com/file/d/1iF12iukZ2NbzPzczHYokWfElGK-JCgXG/view?usp=drivesdk", "46.9 MB")</f>
        <v>46.9 MB</v>
      </c>
    </row>
    <row r="136">
      <c r="A136" s="1" t="s">
        <v>268</v>
      </c>
      <c r="B136" s="1" t="s">
        <v>145</v>
      </c>
      <c r="C136" s="1" t="s">
        <v>269</v>
      </c>
      <c r="D136" s="1" t="s">
        <v>9</v>
      </c>
      <c r="E136" s="1" t="s">
        <v>10</v>
      </c>
      <c r="F136" s="3" t="str">
        <f>HYPERLINK("https://drive.google.com/file/d/1KVUtV5mRo20x7FsrdCmPyPcu4G-PGEX7/view?usp=drivesdk", "75.5 MB")</f>
        <v>75.5 MB</v>
      </c>
    </row>
    <row r="137">
      <c r="A137" s="1" t="s">
        <v>270</v>
      </c>
      <c r="B137" s="1" t="s">
        <v>145</v>
      </c>
      <c r="C137" s="1" t="s">
        <v>271</v>
      </c>
      <c r="D137" s="1" t="s">
        <v>13</v>
      </c>
      <c r="E137" s="1" t="s">
        <v>10</v>
      </c>
      <c r="F137" s="3" t="str">
        <f>HYPERLINK("https://drive.google.com/file/d/1Ct6iJRzY4Yy2B9j64C9vOON4sU1iFh9H/view?usp=drivesdk", "22.8 MB")</f>
        <v>22.8 MB</v>
      </c>
    </row>
    <row r="138">
      <c r="A138" s="1" t="s">
        <v>272</v>
      </c>
      <c r="B138" s="1" t="s">
        <v>145</v>
      </c>
      <c r="C138" s="1" t="s">
        <v>273</v>
      </c>
      <c r="D138" s="1" t="s">
        <v>9</v>
      </c>
      <c r="E138" s="1" t="s">
        <v>93</v>
      </c>
      <c r="F138" s="3" t="str">
        <f>HYPERLINK("https://drive.google.com/file/d/1OrXJcciiP7zW2pDxLr_5EwWM17FkOBR2/view?usp=drivesdk", "77.1 MB")</f>
        <v>77.1 MB</v>
      </c>
    </row>
    <row r="139">
      <c r="A139" s="1" t="s">
        <v>274</v>
      </c>
      <c r="B139" s="1" t="s">
        <v>145</v>
      </c>
      <c r="C139" s="1" t="s">
        <v>275</v>
      </c>
      <c r="D139" s="1" t="s">
        <v>13</v>
      </c>
      <c r="E139" s="1" t="s">
        <v>93</v>
      </c>
      <c r="F139" s="3" t="str">
        <f>HYPERLINK("https://drive.google.com/file/d/1AK9tg3wbNxEIENw3qQ6R_Txsjyj06n3g/view?usp=drivesdk", "48.4 MB")</f>
        <v>48.4 MB</v>
      </c>
    </row>
    <row r="140">
      <c r="A140" s="1" t="s">
        <v>276</v>
      </c>
      <c r="B140" s="1" t="s">
        <v>277</v>
      </c>
      <c r="C140" s="1" t="s">
        <v>278</v>
      </c>
      <c r="D140" s="1" t="s">
        <v>9</v>
      </c>
      <c r="E140" s="1" t="s">
        <v>10</v>
      </c>
      <c r="F140" s="3" t="str">
        <f>HYPERLINK("https://drive.google.com/file/d/1KsEffFcE-SVRoqzKZStaovBhA0qth2Xo/view?usp=drivesdk", "60.9 MB")</f>
        <v>60.9 MB</v>
      </c>
    </row>
    <row r="141">
      <c r="A141" s="1" t="s">
        <v>279</v>
      </c>
      <c r="B141" s="1" t="s">
        <v>277</v>
      </c>
      <c r="C141" s="1" t="s">
        <v>280</v>
      </c>
      <c r="D141" s="1" t="s">
        <v>9</v>
      </c>
      <c r="E141" s="1" t="s">
        <v>10</v>
      </c>
      <c r="F141" s="3" t="str">
        <f>HYPERLINK("https://drive.google.com/file/d/1v-RYXm-zhcFFC6vAm6Wy1BLZkO4TLdwk/view?usp=drivesdk", "89.6 MB")</f>
        <v>89.6 MB</v>
      </c>
    </row>
    <row r="142">
      <c r="A142" s="1" t="s">
        <v>281</v>
      </c>
      <c r="B142" s="1" t="s">
        <v>277</v>
      </c>
      <c r="C142" s="1" t="s">
        <v>282</v>
      </c>
      <c r="D142" s="1" t="s">
        <v>13</v>
      </c>
      <c r="E142" s="1" t="s">
        <v>10</v>
      </c>
      <c r="F142" s="3" t="str">
        <f>HYPERLINK("https://drive.google.com/file/d/16TZ5eAUOPTdYt-JoYGDb2IsySn9KZzCw/view?usp=drivesdk", "30.8 MB")</f>
        <v>30.8 MB</v>
      </c>
    </row>
    <row r="143">
      <c r="A143" s="1" t="s">
        <v>283</v>
      </c>
      <c r="B143" s="1" t="s">
        <v>277</v>
      </c>
      <c r="C143" s="1" t="s">
        <v>284</v>
      </c>
      <c r="D143" s="1" t="s">
        <v>9</v>
      </c>
      <c r="E143" s="1" t="s">
        <v>16</v>
      </c>
      <c r="F143" s="3" t="str">
        <f>HYPERLINK("https://drive.google.com/file/d/1V8OoLr1Sh_KHEldAA4JOnFGey2PyBf4G/view?usp=drivesdk", "74.2 MB")</f>
        <v>74.2 MB</v>
      </c>
    </row>
    <row r="144">
      <c r="A144" s="1" t="s">
        <v>285</v>
      </c>
      <c r="B144" s="1" t="s">
        <v>277</v>
      </c>
      <c r="C144" s="1" t="s">
        <v>286</v>
      </c>
      <c r="D144" s="1" t="s">
        <v>13</v>
      </c>
      <c r="E144" s="1" t="s">
        <v>16</v>
      </c>
      <c r="F144" s="3" t="str">
        <f>HYPERLINK("https://drive.google.com/file/d/1syMOmeIp7Zlx_m1JK-F7vrHGvortfdVK/view?usp=drivesdk", "30.8 MB")</f>
        <v>30.8 MB</v>
      </c>
    </row>
    <row r="145">
      <c r="A145" s="1" t="s">
        <v>287</v>
      </c>
      <c r="B145" s="1" t="s">
        <v>277</v>
      </c>
      <c r="C145" s="1" t="s">
        <v>288</v>
      </c>
      <c r="D145" s="1" t="s">
        <v>13</v>
      </c>
      <c r="E145" s="1" t="s">
        <v>16</v>
      </c>
      <c r="F145" s="3" t="str">
        <f>HYPERLINK("https://drive.google.com/file/d/15gN8beh-1EK24_n4382I4sQBAZ9ZOVdB/view?usp=drivesdk", "29.6 MB")</f>
        <v>29.6 MB</v>
      </c>
    </row>
    <row r="146">
      <c r="A146" s="1" t="s">
        <v>289</v>
      </c>
      <c r="B146" s="1" t="s">
        <v>277</v>
      </c>
      <c r="C146" s="1" t="s">
        <v>290</v>
      </c>
      <c r="D146" s="1" t="s">
        <v>13</v>
      </c>
      <c r="E146" s="1" t="s">
        <v>16</v>
      </c>
      <c r="F146" s="3" t="str">
        <f>HYPERLINK("https://drive.google.com/file/d/1xZHWME7nD8a1Wk8kCTVL4uPpzstbkEqr/view?usp=drive_link", "23.9 MB")</f>
        <v>23.9 MB</v>
      </c>
    </row>
    <row r="147">
      <c r="A147" s="1" t="s">
        <v>291</v>
      </c>
      <c r="B147" s="1" t="s">
        <v>277</v>
      </c>
      <c r="C147" s="1" t="s">
        <v>292</v>
      </c>
      <c r="D147" s="1" t="s">
        <v>13</v>
      </c>
      <c r="E147" s="1" t="s">
        <v>16</v>
      </c>
      <c r="F147" s="3" t="str">
        <f>HYPERLINK("https://drive.google.com/file/d/1J3sLgREGJPNyT7bSi4SfkhqQUGWsuNbd/view?usp=drive_link", "22.8 MB")</f>
        <v>22.8 MB</v>
      </c>
    </row>
    <row r="148">
      <c r="A148" s="1" t="s">
        <v>293</v>
      </c>
      <c r="B148" s="1" t="s">
        <v>277</v>
      </c>
      <c r="C148" s="1" t="s">
        <v>294</v>
      </c>
      <c r="D148" s="1" t="s">
        <v>9</v>
      </c>
      <c r="E148" s="1" t="s">
        <v>10</v>
      </c>
      <c r="F148" s="3" t="str">
        <f>HYPERLINK("https://drive.google.com/file/d/1ILBF0NNjzJNXyBL5M-h9HmE6qH3GWKa1/view?usp=drivesdk", "18.8 MB")</f>
        <v>18.8 MB</v>
      </c>
    </row>
    <row r="149">
      <c r="A149" s="1" t="s">
        <v>295</v>
      </c>
      <c r="B149" s="1" t="s">
        <v>277</v>
      </c>
      <c r="C149" s="1" t="s">
        <v>296</v>
      </c>
      <c r="D149" s="1" t="s">
        <v>13</v>
      </c>
      <c r="E149" s="1" t="s">
        <v>10</v>
      </c>
      <c r="F149" s="3" t="str">
        <f>HYPERLINK("https://drive.google.com/file/d/1FbBjsPwJZHURN9R1nChyL9GMpidOejAP/view?usp=drivesdk", "23.6 MB")</f>
        <v>23.6 MB</v>
      </c>
    </row>
    <row r="150">
      <c r="A150" s="1" t="s">
        <v>297</v>
      </c>
      <c r="B150" s="1" t="s">
        <v>277</v>
      </c>
      <c r="C150" s="1" t="s">
        <v>298</v>
      </c>
      <c r="D150" s="1" t="s">
        <v>13</v>
      </c>
      <c r="E150" s="1" t="s">
        <v>10</v>
      </c>
      <c r="F150" s="3" t="str">
        <f>HYPERLINK("https://drive.google.com/file/d/18075S0XZj11xDvfhzFVp4P-oFxeBkcjP/view?usp=drive_link", "23.6 MB")</f>
        <v>23.6 MB</v>
      </c>
    </row>
    <row r="151">
      <c r="A151" s="1" t="s">
        <v>299</v>
      </c>
      <c r="B151" s="1" t="s">
        <v>277</v>
      </c>
      <c r="C151" s="1" t="s">
        <v>300</v>
      </c>
      <c r="D151" s="1" t="s">
        <v>9</v>
      </c>
      <c r="E151" s="1" t="s">
        <v>10</v>
      </c>
      <c r="F151" s="3" t="str">
        <f>HYPERLINK("https://drive.google.com/file/d/1cs_3ocNCVgL8X9UEwR2BfDdY-sJXx05Z/view?usp=drivesdk", "79.4 MB")</f>
        <v>79.4 MB</v>
      </c>
    </row>
    <row r="152">
      <c r="A152" s="1" t="s">
        <v>301</v>
      </c>
      <c r="B152" s="1" t="s">
        <v>277</v>
      </c>
      <c r="C152" s="1" t="s">
        <v>302</v>
      </c>
      <c r="D152" s="1" t="s">
        <v>13</v>
      </c>
      <c r="E152" s="1" t="s">
        <v>10</v>
      </c>
      <c r="F152" s="3" t="str">
        <f>HYPERLINK("https://drive.google.com/file/d/19kCQc2gbCjpiZo3cUWRjEaKdzGMeextC/view?usp=drivesdk", "56.5 MB")</f>
        <v>56.5 MB</v>
      </c>
    </row>
    <row r="153">
      <c r="A153" s="1" t="s">
        <v>303</v>
      </c>
      <c r="B153" s="1" t="s">
        <v>277</v>
      </c>
      <c r="C153" s="1" t="s">
        <v>304</v>
      </c>
      <c r="D153" s="1" t="s">
        <v>9</v>
      </c>
      <c r="E153" s="1" t="s">
        <v>10</v>
      </c>
      <c r="F153" s="3" t="str">
        <f>HYPERLINK("https://drive.google.com/file/d/10z7TZtJ0zIRWVXl1I4zQ1G_Ywt76PglN/view?usp=drivesdk", "26.6 MB")</f>
        <v>26.6 MB</v>
      </c>
    </row>
    <row r="154">
      <c r="A154" s="1" t="s">
        <v>305</v>
      </c>
      <c r="B154" s="1" t="s">
        <v>277</v>
      </c>
      <c r="C154" s="1" t="s">
        <v>306</v>
      </c>
      <c r="D154" s="1" t="s">
        <v>13</v>
      </c>
      <c r="E154" s="1" t="s">
        <v>10</v>
      </c>
      <c r="F154" s="3" t="str">
        <f>HYPERLINK("https://drive.google.com/file/d/1kZ5RN3e2giSzhoS0a8DKfQd10gpPPs9U/view?usp=drivesdk", "38.9 MB")</f>
        <v>38.9 MB</v>
      </c>
    </row>
    <row r="155">
      <c r="A155" s="1" t="s">
        <v>307</v>
      </c>
      <c r="B155" s="1" t="s">
        <v>277</v>
      </c>
      <c r="C155" s="1" t="s">
        <v>308</v>
      </c>
      <c r="D155" s="1" t="s">
        <v>9</v>
      </c>
      <c r="E155" s="1" t="s">
        <v>16</v>
      </c>
      <c r="F155" s="3" t="str">
        <f t="shared" ref="F155:F156" si="3">HYPERLINK("https://drive.google.com/file/d/1ybgrrYgFK7nlTmSjX_lnK-T611JKKMiI/view?usp=drivesdk", "46.4 MB")</f>
        <v>46.4 MB</v>
      </c>
    </row>
    <row r="156">
      <c r="A156" s="1" t="s">
        <v>307</v>
      </c>
      <c r="B156" s="1" t="s">
        <v>277</v>
      </c>
      <c r="C156" s="1" t="s">
        <v>308</v>
      </c>
      <c r="D156" s="1" t="s">
        <v>9</v>
      </c>
      <c r="E156" s="1" t="s">
        <v>41</v>
      </c>
      <c r="F156" s="3" t="str">
        <f t="shared" si="3"/>
        <v>46.4 MB</v>
      </c>
    </row>
    <row r="157">
      <c r="A157" s="1" t="s">
        <v>309</v>
      </c>
      <c r="B157" s="1" t="s">
        <v>277</v>
      </c>
      <c r="C157" s="1" t="s">
        <v>310</v>
      </c>
      <c r="D157" s="1" t="s">
        <v>13</v>
      </c>
      <c r="E157" s="1" t="s">
        <v>41</v>
      </c>
      <c r="F157" s="3" t="str">
        <f>HYPERLINK("https://drive.google.com/file/d/1jT8o9VjHabHOLGAImsjj2t5a_uz4QJBR/view?usp=drivesdk", "27.2 MB")</f>
        <v>27.2 MB</v>
      </c>
    </row>
    <row r="158">
      <c r="A158" s="1" t="s">
        <v>311</v>
      </c>
      <c r="B158" s="1" t="s">
        <v>277</v>
      </c>
      <c r="C158" s="1" t="s">
        <v>312</v>
      </c>
      <c r="D158" s="1" t="s">
        <v>13</v>
      </c>
      <c r="E158" s="1" t="s">
        <v>41</v>
      </c>
      <c r="F158" s="3" t="str">
        <f>HYPERLINK("https://drive.google.com/file/d/16KDPgduxIRN6fOonjWj8Bb-KU-LD20fw/view?usp=drivesdk", "27.3 MB")</f>
        <v>27.3 MB</v>
      </c>
    </row>
    <row r="159">
      <c r="A159" s="1" t="s">
        <v>313</v>
      </c>
      <c r="B159" s="1" t="s">
        <v>277</v>
      </c>
      <c r="C159" s="1" t="s">
        <v>314</v>
      </c>
      <c r="D159" s="1" t="s">
        <v>13</v>
      </c>
      <c r="E159" s="1" t="s">
        <v>16</v>
      </c>
      <c r="F159" s="3" t="str">
        <f>HYPERLINK("https://drive.google.com/file/d/1USmR5Wg4Ch08IXTAEPhsnjOvNUCtVXBY/view?usp=drivesdk", "27.2 MB")</f>
        <v>27.2 MB</v>
      </c>
    </row>
    <row r="160">
      <c r="A160" s="1" t="s">
        <v>315</v>
      </c>
      <c r="B160" s="1" t="s">
        <v>277</v>
      </c>
      <c r="C160" s="1" t="s">
        <v>316</v>
      </c>
      <c r="D160" s="1" t="s">
        <v>13</v>
      </c>
      <c r="E160" s="1" t="s">
        <v>16</v>
      </c>
      <c r="F160" s="3" t="str">
        <f>HYPERLINK("https://drive.google.com/file/d/1Y0iL5ucJ-x13-BKlOACa1u5S2DuDTj7l/view?usp=drivesdk", "27.3 MB")</f>
        <v>27.3 MB</v>
      </c>
    </row>
    <row r="161">
      <c r="A161" s="1" t="s">
        <v>317</v>
      </c>
      <c r="B161" s="1" t="s">
        <v>277</v>
      </c>
      <c r="C161" s="1" t="s">
        <v>318</v>
      </c>
      <c r="D161" s="1" t="s">
        <v>9</v>
      </c>
      <c r="E161" s="1" t="s">
        <v>10</v>
      </c>
      <c r="F161" s="3" t="str">
        <f>HYPERLINK("https://drive.google.com/file/d/1iiegjAUauF1PrfM6W5KYLFeLANFJaOCl/view?usp=drivesdk", "96.1 MB")</f>
        <v>96.1 MB</v>
      </c>
    </row>
    <row r="162">
      <c r="A162" s="1" t="s">
        <v>319</v>
      </c>
      <c r="B162" s="1" t="s">
        <v>277</v>
      </c>
      <c r="C162" s="1" t="s">
        <v>320</v>
      </c>
      <c r="D162" s="1" t="s">
        <v>9</v>
      </c>
      <c r="E162" s="1" t="s">
        <v>10</v>
      </c>
      <c r="F162" s="3" t="str">
        <f>HYPERLINK("https://drive.google.com/file/d/1JL9YvVrbyAPSEr0JA5_1Ti86m4iWmom3/view?usp=drivesdk", "82.3 MB")</f>
        <v>82.3 MB</v>
      </c>
    </row>
    <row r="163">
      <c r="A163" s="1" t="s">
        <v>321</v>
      </c>
      <c r="B163" s="1" t="s">
        <v>277</v>
      </c>
      <c r="C163" s="1" t="s">
        <v>322</v>
      </c>
      <c r="D163" s="1" t="s">
        <v>9</v>
      </c>
      <c r="E163" s="1" t="s">
        <v>10</v>
      </c>
      <c r="F163" s="3" t="str">
        <f>HYPERLINK("https://drive.google.com/file/d/1VF7Dn8wVSe2PKMp0IIo3VrLc6RKfpD91/view?usp=drivesdk", "88.5 MB")</f>
        <v>88.5 MB</v>
      </c>
    </row>
    <row r="164">
      <c r="A164" s="1" t="s">
        <v>323</v>
      </c>
      <c r="B164" s="1" t="s">
        <v>277</v>
      </c>
      <c r="C164" s="1" t="s">
        <v>324</v>
      </c>
      <c r="D164" s="1" t="s">
        <v>9</v>
      </c>
      <c r="E164" s="1" t="s">
        <v>10</v>
      </c>
      <c r="F164" s="3" t="str">
        <f>HYPERLINK("https://drive.google.com/file/d/15PWlK-ADoR8GQq6fmDOZxfPzUBc10tGx/view?usp=drivesdk", "89.3 MB")</f>
        <v>89.3 MB</v>
      </c>
    </row>
    <row r="165">
      <c r="A165" s="1" t="s">
        <v>325</v>
      </c>
      <c r="B165" s="1" t="s">
        <v>277</v>
      </c>
      <c r="C165" s="1" t="s">
        <v>326</v>
      </c>
      <c r="D165" s="1" t="s">
        <v>13</v>
      </c>
      <c r="E165" s="1" t="s">
        <v>10</v>
      </c>
      <c r="F165" s="3" t="str">
        <f>HYPERLINK("https://drive.google.com/file/d/1XGU1JKfLYyF0WqhqrkYouAZqlQqQSO5Q/view?usp=drivesdk", "99.6 MB")</f>
        <v>99.6 MB</v>
      </c>
    </row>
    <row r="166">
      <c r="A166" s="1" t="s">
        <v>327</v>
      </c>
      <c r="B166" s="1" t="s">
        <v>277</v>
      </c>
      <c r="C166" s="1" t="s">
        <v>328</v>
      </c>
      <c r="D166" s="1" t="s">
        <v>13</v>
      </c>
      <c r="E166" s="1" t="s">
        <v>10</v>
      </c>
      <c r="F166" s="3" t="str">
        <f>HYPERLINK("https://drive.google.com/file/d/1yrZ4X22k5QBbf7h4LJa3dpDbWJueJiz4/view?usp=drivesdk", "91.3 MB")</f>
        <v>91.3 MB</v>
      </c>
    </row>
    <row r="167">
      <c r="A167" s="1" t="s">
        <v>329</v>
      </c>
      <c r="B167" s="1" t="s">
        <v>277</v>
      </c>
      <c r="C167" s="1" t="s">
        <v>330</v>
      </c>
      <c r="D167" s="1" t="s">
        <v>9</v>
      </c>
      <c r="E167" s="1" t="s">
        <v>10</v>
      </c>
      <c r="F167" s="3" t="str">
        <f>HYPERLINK("https://drive.google.com/file/d/1aY1PIZVQe4yMyZ0D75NR2FT343rBVJ-c/view?usp=drivesdk", "91.9 MB")</f>
        <v>91.9 MB</v>
      </c>
    </row>
    <row r="168">
      <c r="A168" s="1" t="s">
        <v>331</v>
      </c>
      <c r="B168" s="1" t="s">
        <v>277</v>
      </c>
      <c r="C168" s="1" t="s">
        <v>332</v>
      </c>
      <c r="D168" s="1" t="s">
        <v>9</v>
      </c>
      <c r="E168" s="1" t="s">
        <v>10</v>
      </c>
      <c r="F168" s="3" t="str">
        <f>HYPERLINK("https://drive.google.com/file/d/1Op0TU8l6Feo7GjE10QMvciurtux5a4xi/view?usp=drivesdk", "80.9 MB")</f>
        <v>80.9 MB</v>
      </c>
    </row>
    <row r="169">
      <c r="A169" s="1" t="s">
        <v>333</v>
      </c>
      <c r="B169" s="1" t="s">
        <v>277</v>
      </c>
      <c r="C169" s="1" t="s">
        <v>334</v>
      </c>
      <c r="D169" s="1" t="s">
        <v>13</v>
      </c>
      <c r="E169" s="1" t="s">
        <v>10</v>
      </c>
      <c r="F169" s="3" t="str">
        <f>HYPERLINK("https://drive.google.com/file/d/1k_ofpWkXgdqHRZZCA60bmJjLjwccBvLj/view?usp=drivesdk", "64.8 MB")</f>
        <v>64.8 MB</v>
      </c>
    </row>
    <row r="170">
      <c r="A170" s="1" t="s">
        <v>335</v>
      </c>
      <c r="B170" s="1" t="s">
        <v>277</v>
      </c>
      <c r="C170" s="1" t="s">
        <v>336</v>
      </c>
      <c r="D170" s="1" t="s">
        <v>13</v>
      </c>
      <c r="E170" s="1" t="s">
        <v>10</v>
      </c>
      <c r="F170" s="3" t="str">
        <f>HYPERLINK("https://drive.google.com/file/d/1SUYRD0chubl7Cekgowm3Q90RvOnHGfgB/view?usp=drivesdk", "45.4 MB")</f>
        <v>45.4 MB</v>
      </c>
    </row>
    <row r="171">
      <c r="A171" s="1" t="s">
        <v>337</v>
      </c>
      <c r="B171" s="1" t="s">
        <v>277</v>
      </c>
      <c r="C171" s="1" t="s">
        <v>338</v>
      </c>
      <c r="D171" s="1" t="s">
        <v>9</v>
      </c>
      <c r="E171" s="1" t="s">
        <v>41</v>
      </c>
      <c r="F171" s="3" t="str">
        <f>HYPERLINK("https://drive.google.com/file/d/1cmT9pHDvYfq5oZErDFcoHbvH_cJ3wc1C/view?usp=drivesdk", "37.2 MB")</f>
        <v>37.2 MB</v>
      </c>
    </row>
    <row r="172">
      <c r="A172" s="1" t="s">
        <v>339</v>
      </c>
      <c r="B172" s="1" t="s">
        <v>277</v>
      </c>
      <c r="C172" s="1" t="s">
        <v>340</v>
      </c>
      <c r="D172" s="1" t="s">
        <v>13</v>
      </c>
      <c r="E172" s="1" t="s">
        <v>41</v>
      </c>
      <c r="F172" s="3" t="str">
        <f>HYPERLINK("https://drive.google.com/file/d/1lyH97CAFH95vUd9xaNG29Mx6JQ9jz3nT/view?usp=drivesdk", "65.4 MB")</f>
        <v>65.4 MB</v>
      </c>
    </row>
    <row r="173">
      <c r="A173" s="1" t="s">
        <v>341</v>
      </c>
      <c r="B173" s="1" t="s">
        <v>277</v>
      </c>
      <c r="C173" s="1" t="s">
        <v>342</v>
      </c>
      <c r="D173" s="1" t="s">
        <v>13</v>
      </c>
      <c r="E173" s="1" t="s">
        <v>41</v>
      </c>
      <c r="F173" s="3" t="str">
        <f>HYPERLINK("https://drive.google.com/file/d/1LlsDTSQzt0nKCOpcEQZ9voz3OrhSyoLj/view?usp=drivesdk", "55.6 MB")</f>
        <v>55.6 MB</v>
      </c>
    </row>
    <row r="174">
      <c r="A174" s="1" t="s">
        <v>343</v>
      </c>
      <c r="B174" s="1" t="s">
        <v>277</v>
      </c>
      <c r="C174" s="1" t="s">
        <v>344</v>
      </c>
      <c r="D174" s="1" t="s">
        <v>9</v>
      </c>
      <c r="E174" s="1" t="s">
        <v>10</v>
      </c>
      <c r="F174" s="3" t="str">
        <f>HYPERLINK("https://drive.google.com/file/d/1JJXywKbiBixDTUtR0FoMqUHMEpEcgEZ1/view?usp=drivesdk", "52.8 MB")</f>
        <v>52.8 MB</v>
      </c>
    </row>
    <row r="175">
      <c r="A175" s="1" t="s">
        <v>345</v>
      </c>
      <c r="B175" s="1" t="s">
        <v>277</v>
      </c>
      <c r="C175" s="1" t="s">
        <v>346</v>
      </c>
      <c r="D175" s="1" t="s">
        <v>13</v>
      </c>
      <c r="E175" s="1" t="s">
        <v>10</v>
      </c>
      <c r="F175" s="3" t="str">
        <f>HYPERLINK("https://drive.google.com/file/d/1WlyFjoDTnC-ezPbZWlSYHKXkGS4m5_Vm/view?usp=drivesdk", "41 MB")</f>
        <v>41 MB</v>
      </c>
    </row>
    <row r="176">
      <c r="A176" s="1" t="s">
        <v>347</v>
      </c>
      <c r="B176" s="1" t="s">
        <v>277</v>
      </c>
      <c r="C176" s="1" t="s">
        <v>348</v>
      </c>
      <c r="D176" s="1" t="s">
        <v>9</v>
      </c>
      <c r="E176" s="1" t="s">
        <v>16</v>
      </c>
      <c r="F176" s="3" t="str">
        <f>HYPERLINK("https://drive.google.com/file/d/13s6tjpyDG93DglKZoGPaHELJZI_uS1WU/view?usp=sharing", "42 MB")</f>
        <v>42 MB</v>
      </c>
    </row>
    <row r="177">
      <c r="A177" s="1" t="s">
        <v>347</v>
      </c>
      <c r="B177" s="1" t="s">
        <v>277</v>
      </c>
      <c r="C177" s="1" t="s">
        <v>348</v>
      </c>
      <c r="D177" s="1" t="s">
        <v>9</v>
      </c>
      <c r="E177" s="1" t="s">
        <v>41</v>
      </c>
      <c r="F177" s="3" t="str">
        <f>HYPERLINK("https://drive.google.com/file/d/1sjdut2ErMt9tWy7EGSWqLcIOW0tXVSJP/view?usp=sharing", "42 MB")</f>
        <v>42 MB</v>
      </c>
    </row>
    <row r="178">
      <c r="A178" s="1" t="s">
        <v>347</v>
      </c>
      <c r="B178" s="1" t="s">
        <v>277</v>
      </c>
      <c r="C178" s="1" t="s">
        <v>348</v>
      </c>
      <c r="D178" s="1" t="s">
        <v>9</v>
      </c>
      <c r="E178" s="1" t="s">
        <v>10</v>
      </c>
      <c r="F178" s="3" t="str">
        <f>HYPERLINK("https://drive.google.com/file/d/1IRI-SkycUv9hdgDYaljpr5C4Bks2dDoa/view?usp=drive_link", "42 MB")</f>
        <v>42 MB</v>
      </c>
    </row>
    <row r="179">
      <c r="A179" s="1" t="s">
        <v>349</v>
      </c>
      <c r="B179" s="1" t="s">
        <v>277</v>
      </c>
      <c r="C179" s="1" t="s">
        <v>350</v>
      </c>
      <c r="D179" s="1" t="s">
        <v>9</v>
      </c>
      <c r="E179" s="1" t="s">
        <v>16</v>
      </c>
      <c r="F179" s="3" t="str">
        <f>HYPERLINK("https://drive.google.com/file/d/1iqVIRb135yXqobxFsB66gyunqfN476Gr/view?usp=drivesdk", "50.5 MB")</f>
        <v>50.5 MB</v>
      </c>
    </row>
    <row r="180">
      <c r="A180" s="1" t="s">
        <v>351</v>
      </c>
      <c r="B180" s="1" t="s">
        <v>277</v>
      </c>
      <c r="C180" s="1" t="s">
        <v>352</v>
      </c>
      <c r="D180" s="1" t="s">
        <v>9</v>
      </c>
      <c r="E180" s="1" t="s">
        <v>16</v>
      </c>
      <c r="F180" s="3" t="str">
        <f>HYPERLINK("https://drive.google.com/file/d/1UeDmhNFsalwvgjACOYCWupSBXyPT1GFf/view?usp=drivesdk", "45.7 MB")</f>
        <v>45.7 MB</v>
      </c>
    </row>
    <row r="181">
      <c r="A181" s="1" t="s">
        <v>353</v>
      </c>
      <c r="B181" s="1" t="s">
        <v>277</v>
      </c>
      <c r="C181" s="1" t="s">
        <v>354</v>
      </c>
      <c r="D181" s="1" t="s">
        <v>13</v>
      </c>
      <c r="E181" s="1" t="s">
        <v>16</v>
      </c>
      <c r="F181" s="3" t="str">
        <f>HYPERLINK("https://drive.google.com/file/d/1GMJHhkl_iycijgdw2Ibz0e1Nnxs2B5Ae/view?usp=drivesdk", "18.1 MB")</f>
        <v>18.1 MB</v>
      </c>
    </row>
    <row r="182">
      <c r="A182" s="1" t="s">
        <v>355</v>
      </c>
      <c r="B182" s="1" t="s">
        <v>277</v>
      </c>
      <c r="C182" s="1" t="s">
        <v>356</v>
      </c>
      <c r="D182" s="1" t="s">
        <v>13</v>
      </c>
      <c r="E182" s="1" t="s">
        <v>41</v>
      </c>
      <c r="F182" s="3" t="str">
        <f>HYPERLINK("https://drive.google.com/file/d/1zQiwiAMQ4SadmPXfMzOxWkNfMVaSWcsT/view?usp=drivesdk", "53.7 MB")</f>
        <v>53.7 MB</v>
      </c>
    </row>
    <row r="183">
      <c r="A183" s="1" t="s">
        <v>357</v>
      </c>
      <c r="B183" s="1" t="s">
        <v>277</v>
      </c>
      <c r="C183" s="1" t="s">
        <v>358</v>
      </c>
      <c r="D183" s="1" t="s">
        <v>9</v>
      </c>
      <c r="E183" s="1" t="s">
        <v>41</v>
      </c>
      <c r="F183" s="3" t="str">
        <f>HYPERLINK("https://drive.google.com/file/d/1-8mVXI8q2ANyhYeD_CmtgrOdU3oQFTEa/view?usp=drivesdk", "81.3 MB")</f>
        <v>81.3 MB</v>
      </c>
    </row>
    <row r="184">
      <c r="A184" s="1" t="s">
        <v>359</v>
      </c>
      <c r="B184" s="1" t="s">
        <v>277</v>
      </c>
      <c r="C184" s="1" t="s">
        <v>360</v>
      </c>
      <c r="D184" s="1" t="s">
        <v>9</v>
      </c>
      <c r="E184" s="1" t="s">
        <v>41</v>
      </c>
      <c r="F184" s="3" t="str">
        <f>HYPERLINK("https://drive.google.com/file/d/1ndLPbGXkVQd42asC06WjD7Kzrfiu2Oy4/view?usp=drivesdk", "85 MB")</f>
        <v>85 MB</v>
      </c>
    </row>
    <row r="185">
      <c r="A185" s="1" t="s">
        <v>361</v>
      </c>
      <c r="B185" s="1" t="s">
        <v>277</v>
      </c>
      <c r="C185" s="1" t="s">
        <v>362</v>
      </c>
      <c r="D185" s="1" t="s">
        <v>9</v>
      </c>
      <c r="E185" s="1" t="s">
        <v>10</v>
      </c>
      <c r="F185" s="3" t="str">
        <f>HYPERLINK("https://drive.google.com/file/d/14Tgu_K_rRb9J-5JjHFlz6VjnyPYZstI0/view?usp=drivesdk", "69.4 MB")</f>
        <v>69.4 MB</v>
      </c>
    </row>
    <row r="186">
      <c r="A186" s="1" t="s">
        <v>363</v>
      </c>
      <c r="B186" s="1" t="s">
        <v>277</v>
      </c>
      <c r="C186" s="1" t="s">
        <v>364</v>
      </c>
      <c r="D186" s="1" t="s">
        <v>13</v>
      </c>
      <c r="E186" s="1" t="s">
        <v>10</v>
      </c>
      <c r="F186" s="3" t="str">
        <f>HYPERLINK("https://drive.google.com/file/d/1pfUJ3DQpPLdwz09GqUSWiHAp-NnTyB_X/view?usp=drivesdk", "39.8 MB")</f>
        <v>39.8 MB</v>
      </c>
    </row>
    <row r="187">
      <c r="A187" s="1" t="s">
        <v>365</v>
      </c>
      <c r="B187" s="1" t="s">
        <v>277</v>
      </c>
      <c r="C187" s="1" t="s">
        <v>366</v>
      </c>
      <c r="D187" s="1" t="s">
        <v>9</v>
      </c>
      <c r="E187" s="1" t="s">
        <v>10</v>
      </c>
      <c r="F187" s="3" t="str">
        <f>HYPERLINK("https://drive.google.com/file/d/1m6HX5htOIB-vLyVoplbxHsBdQalWefnO/view?usp=drivesdk", "24.7 MB")</f>
        <v>24.7 MB</v>
      </c>
    </row>
    <row r="188">
      <c r="A188" s="1" t="s">
        <v>367</v>
      </c>
      <c r="B188" s="1" t="s">
        <v>277</v>
      </c>
      <c r="C188" s="1" t="s">
        <v>368</v>
      </c>
      <c r="D188" s="1" t="s">
        <v>9</v>
      </c>
      <c r="E188" s="1" t="s">
        <v>10</v>
      </c>
      <c r="F188" s="3" t="str">
        <f>HYPERLINK("https://drive.google.com/file/d/1dux9FVBeMiQ2N0vO1vkQwtW6RPENm3rA/view?usp=drivesdk", "77.3 MB")</f>
        <v>77.3 MB</v>
      </c>
    </row>
    <row r="189">
      <c r="A189" s="1" t="s">
        <v>369</v>
      </c>
      <c r="B189" s="1" t="s">
        <v>277</v>
      </c>
      <c r="C189" s="1" t="s">
        <v>370</v>
      </c>
      <c r="D189" s="1" t="s">
        <v>9</v>
      </c>
      <c r="E189" s="1" t="s">
        <v>10</v>
      </c>
      <c r="F189" s="3" t="str">
        <f>HYPERLINK("https://drive.google.com/file/d/156zT83ZwKyhZsd1vuV4-RgYVKGefD8T9/view?usp=drivesdk", "58 MB")</f>
        <v>58 MB</v>
      </c>
    </row>
    <row r="190">
      <c r="A190" s="1" t="s">
        <v>371</v>
      </c>
      <c r="B190" s="1" t="s">
        <v>277</v>
      </c>
      <c r="C190" s="1" t="s">
        <v>372</v>
      </c>
      <c r="D190" s="1" t="s">
        <v>9</v>
      </c>
      <c r="E190" s="1" t="s">
        <v>93</v>
      </c>
      <c r="F190" s="3" t="str">
        <f>HYPERLINK("https://drive.google.com/file/d/17dhWs3as91pYoBAGKcg21CVxg1MtwGW8/view?usp=drivesdk", "38.6 MB")</f>
        <v>38.6 MB</v>
      </c>
    </row>
    <row r="191">
      <c r="A191" s="1" t="s">
        <v>373</v>
      </c>
      <c r="B191" s="1" t="s">
        <v>277</v>
      </c>
      <c r="C191" s="1" t="s">
        <v>374</v>
      </c>
      <c r="D191" s="1" t="s">
        <v>9</v>
      </c>
      <c r="E191" s="1" t="s">
        <v>93</v>
      </c>
      <c r="F191" s="3" t="str">
        <f>HYPERLINK("https://drive.google.com/file/d/1VeyVS93IGuEtg34pew4syNrxo66cj0ws/view?usp=drivesdk", "57.4 MB")</f>
        <v>57.4 MB</v>
      </c>
    </row>
    <row r="192">
      <c r="A192" s="1" t="s">
        <v>375</v>
      </c>
      <c r="B192" s="1" t="s">
        <v>277</v>
      </c>
      <c r="C192" s="1" t="s">
        <v>376</v>
      </c>
      <c r="D192" s="1" t="s">
        <v>13</v>
      </c>
      <c r="E192" s="1" t="s">
        <v>93</v>
      </c>
      <c r="F192" s="3" t="str">
        <f>HYPERLINK("https://drive.google.com/file/d/1c4tf_TrulcgNFakT0n56C5sdMC59CXCJ/view?usp=drivesdk", "90.5 MB")</f>
        <v>90.5 MB</v>
      </c>
    </row>
    <row r="193">
      <c r="A193" s="1" t="s">
        <v>377</v>
      </c>
      <c r="B193" s="1" t="s">
        <v>277</v>
      </c>
      <c r="C193" s="1" t="s">
        <v>378</v>
      </c>
      <c r="D193" s="1" t="s">
        <v>9</v>
      </c>
      <c r="E193" s="1" t="s">
        <v>16</v>
      </c>
      <c r="F193" s="3" t="str">
        <f t="shared" ref="F193:F195" si="4">HYPERLINK("https://drive.google.com/file/d/1f2x6ujDb0GoEndETUGd-Etrz2Q5Aa1Jv/view?usp=drivesdk", "28 MB")</f>
        <v>28 MB</v>
      </c>
    </row>
    <row r="194">
      <c r="A194" s="1" t="s">
        <v>377</v>
      </c>
      <c r="B194" s="1" t="s">
        <v>277</v>
      </c>
      <c r="C194" s="1" t="s">
        <v>378</v>
      </c>
      <c r="D194" s="1" t="s">
        <v>9</v>
      </c>
      <c r="E194" s="1" t="s">
        <v>41</v>
      </c>
      <c r="F194" s="3" t="str">
        <f t="shared" si="4"/>
        <v>28 MB</v>
      </c>
    </row>
    <row r="195">
      <c r="A195" s="1" t="s">
        <v>377</v>
      </c>
      <c r="B195" s="1" t="s">
        <v>277</v>
      </c>
      <c r="C195" s="1" t="s">
        <v>378</v>
      </c>
      <c r="D195" s="1" t="s">
        <v>9</v>
      </c>
      <c r="E195" s="1" t="s">
        <v>10</v>
      </c>
      <c r="F195" s="3" t="str">
        <f t="shared" si="4"/>
        <v>28 MB</v>
      </c>
    </row>
    <row r="196">
      <c r="A196" s="1" t="s">
        <v>379</v>
      </c>
      <c r="B196" s="1" t="s">
        <v>277</v>
      </c>
      <c r="C196" s="1" t="s">
        <v>380</v>
      </c>
      <c r="D196" s="1" t="s">
        <v>13</v>
      </c>
      <c r="E196" s="1" t="s">
        <v>16</v>
      </c>
      <c r="F196" s="3" t="str">
        <f>HYPERLINK("https://drive.google.com/file/d/1E9FZk-gC-9UFsqRYHYP37c7IpbYL_Woh/view?usp=drivesdk", "57.1 MB")</f>
        <v>57.1 MB</v>
      </c>
    </row>
    <row r="197">
      <c r="A197" s="1" t="s">
        <v>381</v>
      </c>
      <c r="B197" s="1" t="s">
        <v>277</v>
      </c>
      <c r="C197" s="1" t="s">
        <v>380</v>
      </c>
      <c r="D197" s="1" t="s">
        <v>13</v>
      </c>
      <c r="E197" s="1" t="s">
        <v>41</v>
      </c>
      <c r="F197" s="3" t="str">
        <f>HYPERLINK("https://drive.google.com/file/d/18_b9HRCMfRfKaPaYGtjjz7z8gMv8QQXh/view?usp=drivesdk", "57.1 MB")</f>
        <v>57.1 MB</v>
      </c>
    </row>
    <row r="198">
      <c r="A198" s="1" t="s">
        <v>382</v>
      </c>
      <c r="B198" s="1" t="s">
        <v>277</v>
      </c>
      <c r="C198" s="1" t="s">
        <v>380</v>
      </c>
      <c r="D198" s="1" t="s">
        <v>13</v>
      </c>
      <c r="E198" s="1" t="s">
        <v>10</v>
      </c>
      <c r="F198" s="3" t="str">
        <f>HYPERLINK("https://drive.google.com/file/d/1N0WrKJSVKrUIftDKecKKd-DWrUYGlEXy/view?usp=drivesdk", "48.8 MB")</f>
        <v>48.8 MB</v>
      </c>
    </row>
    <row r="199">
      <c r="A199" s="1" t="s">
        <v>383</v>
      </c>
      <c r="B199" s="1" t="s">
        <v>277</v>
      </c>
      <c r="C199" s="1" t="s">
        <v>384</v>
      </c>
      <c r="D199" s="1" t="s">
        <v>9</v>
      </c>
      <c r="E199" s="1" t="s">
        <v>16</v>
      </c>
      <c r="F199" s="3" t="str">
        <f>HYPERLINK("https://drive.google.com/file/d/1XwZRVEqAPRD5V395bE3td-wPtu0yKrKO/view?usp=drivesdk", "59.3 MB")</f>
        <v>59.3 MB</v>
      </c>
    </row>
    <row r="200">
      <c r="A200" s="1" t="s">
        <v>385</v>
      </c>
      <c r="B200" s="1" t="s">
        <v>277</v>
      </c>
      <c r="C200" s="1" t="s">
        <v>386</v>
      </c>
      <c r="D200" s="1" t="s">
        <v>9</v>
      </c>
      <c r="E200" s="1" t="s">
        <v>41</v>
      </c>
      <c r="F200" s="3" t="str">
        <f>HYPERLINK("https://drive.google.com/file/d/1lZXDnRU9ocBI2x1wjnacsR3rAjwmV44y/view?usp=drivesdk", "37.9 MB")</f>
        <v>37.9 MB</v>
      </c>
    </row>
    <row r="201">
      <c r="A201" s="1" t="s">
        <v>387</v>
      </c>
      <c r="B201" s="1" t="s">
        <v>277</v>
      </c>
      <c r="C201" s="1" t="s">
        <v>388</v>
      </c>
      <c r="D201" s="1" t="s">
        <v>9</v>
      </c>
      <c r="E201" s="1" t="s">
        <v>10</v>
      </c>
      <c r="F201" s="3" t="str">
        <f>HYPERLINK("https://drive.google.com/file/d/1vqsB_XymPuOwNj-fLs6-4ceF9N4sTcfX/view?usp=sharing", "38.3 MB")</f>
        <v>38.3 MB</v>
      </c>
    </row>
    <row r="202">
      <c r="A202" s="1" t="s">
        <v>389</v>
      </c>
      <c r="B202" s="1" t="s">
        <v>277</v>
      </c>
      <c r="C202" s="1" t="s">
        <v>390</v>
      </c>
      <c r="D202" s="1" t="s">
        <v>9</v>
      </c>
      <c r="E202" s="1" t="s">
        <v>10</v>
      </c>
      <c r="F202" s="3" t="str">
        <f>HYPERLINK("https://drive.google.com/file/d/1FjLUB5VOtFeKGNjVm33srxAUwyZySGbF/view?usp=sharing", "38.3 MB")</f>
        <v>38.3 MB</v>
      </c>
    </row>
    <row r="203">
      <c r="A203" s="1" t="s">
        <v>391</v>
      </c>
      <c r="B203" s="1" t="s">
        <v>277</v>
      </c>
      <c r="C203" s="1" t="s">
        <v>392</v>
      </c>
      <c r="D203" s="1" t="s">
        <v>9</v>
      </c>
      <c r="E203" s="1" t="s">
        <v>16</v>
      </c>
      <c r="F203" s="3" t="str">
        <f>HYPERLINK("https://drive.google.com/file/d/17R9us9u9LIAomkojSVUfj9NWekqDHQVi/view?usp=drivesdk", "60.2 MB")</f>
        <v>60.2 MB</v>
      </c>
    </row>
    <row r="204">
      <c r="A204" s="1" t="s">
        <v>393</v>
      </c>
      <c r="B204" s="1" t="s">
        <v>277</v>
      </c>
      <c r="C204" s="1" t="s">
        <v>394</v>
      </c>
      <c r="D204" s="1" t="s">
        <v>9</v>
      </c>
      <c r="E204" s="1" t="s">
        <v>41</v>
      </c>
      <c r="F204" s="3" t="str">
        <f>HYPERLINK("https://drive.google.com/file/d/1hSV7gJoIV9eIZQFST-qgx1QWl7GQ0QG3/view?usp=drivesdk", "77.9 MB")</f>
        <v>77.9 MB</v>
      </c>
    </row>
    <row r="205">
      <c r="A205" s="1" t="s">
        <v>395</v>
      </c>
      <c r="B205" s="1" t="s">
        <v>277</v>
      </c>
      <c r="C205" s="1" t="s">
        <v>396</v>
      </c>
      <c r="D205" s="1" t="s">
        <v>9</v>
      </c>
      <c r="E205" s="1" t="s">
        <v>10</v>
      </c>
      <c r="F205" s="3" t="str">
        <f>HYPERLINK("https://drive.google.com/file/d/1XZfOuNkDqAMZ5t58xNpt1wFo7mPta_fq/view?usp=drivesdk", "65.6 MB")</f>
        <v>65.6 MB</v>
      </c>
    </row>
    <row r="206">
      <c r="A206" s="1" t="s">
        <v>397</v>
      </c>
      <c r="B206" s="1" t="s">
        <v>277</v>
      </c>
      <c r="C206" s="1" t="s">
        <v>398</v>
      </c>
      <c r="D206" s="1" t="s">
        <v>9</v>
      </c>
      <c r="E206" s="1" t="s">
        <v>10</v>
      </c>
      <c r="F206" s="3" t="str">
        <f>HYPERLINK("https://drive.google.com/file/d/1ViNynpS_v8wmriVe3Dgk03xpex0Xosqf/view?usp=drivesdk", "67.4 MB")</f>
        <v>67.4 MB</v>
      </c>
    </row>
    <row r="207">
      <c r="A207" s="1" t="s">
        <v>399</v>
      </c>
      <c r="B207" s="1" t="s">
        <v>277</v>
      </c>
      <c r="C207" s="1" t="s">
        <v>400</v>
      </c>
      <c r="D207" s="1" t="s">
        <v>9</v>
      </c>
      <c r="E207" s="1" t="s">
        <v>10</v>
      </c>
      <c r="F207" s="3" t="str">
        <f>HYPERLINK("https://drive.google.com/file/d/1znD8hZWTVceZAfptfd3KvgGQjn6CInu5/view?usp=drivesdk", "67.2 MB")</f>
        <v>67.2 MB</v>
      </c>
    </row>
    <row r="208">
      <c r="A208" s="1" t="s">
        <v>401</v>
      </c>
      <c r="B208" s="1" t="s">
        <v>277</v>
      </c>
      <c r="C208" s="1" t="s">
        <v>402</v>
      </c>
      <c r="D208" s="1" t="s">
        <v>9</v>
      </c>
      <c r="E208" s="1" t="s">
        <v>16</v>
      </c>
      <c r="F208" s="3" t="str">
        <f>HYPERLINK("https://drive.google.com/file/d/1KeCB4ZMz9FpBQDLv5wkzcXra94NkVEfM/view?usp=drivesdk", "89.1 MB")</f>
        <v>89.1 MB</v>
      </c>
    </row>
    <row r="209">
      <c r="A209" s="1" t="s">
        <v>403</v>
      </c>
      <c r="B209" s="1" t="s">
        <v>277</v>
      </c>
      <c r="C209" s="1" t="s">
        <v>404</v>
      </c>
      <c r="D209" s="1" t="s">
        <v>9</v>
      </c>
      <c r="E209" s="1" t="s">
        <v>41</v>
      </c>
      <c r="F209" s="3" t="str">
        <f>HYPERLINK("https://drive.google.com/file/d/1gUt0b4qY3swq9FDmGEAzdFijtN0d9NVh/view?usp=drivesdk", "41.7 MB")</f>
        <v>41.7 MB</v>
      </c>
    </row>
    <row r="210">
      <c r="A210" s="1" t="s">
        <v>405</v>
      </c>
      <c r="B210" s="1" t="s">
        <v>277</v>
      </c>
      <c r="C210" s="1" t="s">
        <v>406</v>
      </c>
      <c r="D210" s="1" t="s">
        <v>9</v>
      </c>
      <c r="E210" s="1" t="s">
        <v>10</v>
      </c>
      <c r="F210" s="3" t="str">
        <f>HYPERLINK("https://drive.google.com/file/d/1vZ2rUojNc4LmHoNjumF2VKzXJ1KFJNso/view?usp=drivesdk", "58.6 MB")</f>
        <v>58.6 MB</v>
      </c>
    </row>
    <row r="211">
      <c r="A211" s="1" t="s">
        <v>407</v>
      </c>
      <c r="B211" s="1" t="s">
        <v>277</v>
      </c>
      <c r="C211" s="1" t="s">
        <v>408</v>
      </c>
      <c r="D211" s="1" t="s">
        <v>9</v>
      </c>
      <c r="E211" s="1" t="s">
        <v>16</v>
      </c>
      <c r="F211" s="3" t="str">
        <f>HYPERLINK("https://drive.google.com/file/d/1ftS4znNKhlYswceaVCGIYIM5gxeEAD69/view?usp=drivesdk", "58.6 MB")</f>
        <v>58.6 MB</v>
      </c>
    </row>
    <row r="212">
      <c r="A212" s="1" t="s">
        <v>409</v>
      </c>
      <c r="B212" s="1" t="s">
        <v>277</v>
      </c>
      <c r="C212" s="1" t="s">
        <v>410</v>
      </c>
      <c r="D212" s="1" t="s">
        <v>13</v>
      </c>
      <c r="E212" s="1" t="s">
        <v>16</v>
      </c>
      <c r="F212" s="3" t="str">
        <f>HYPERLINK("https://drive.google.com/file/d/1ASu13qr8aSAwF4DwRLAS3zQBSst7x4lO/view?usp=drivesdk", "20.6 MB")</f>
        <v>20.6 MB</v>
      </c>
    </row>
    <row r="213">
      <c r="A213" s="1" t="s">
        <v>411</v>
      </c>
      <c r="B213" s="1" t="s">
        <v>277</v>
      </c>
      <c r="C213" s="1" t="s">
        <v>412</v>
      </c>
      <c r="D213" s="1" t="s">
        <v>9</v>
      </c>
      <c r="E213" s="1" t="s">
        <v>41</v>
      </c>
      <c r="F213" s="3" t="str">
        <f>HYPERLINK("https://drive.google.com/file/d/1TJXuIaQJuNIdT-IIHWlz8NHoVdx5iRRf/view?usp=drivesdk", "35.6 MB")</f>
        <v>35.6 MB</v>
      </c>
    </row>
    <row r="214">
      <c r="A214" s="1" t="s">
        <v>413</v>
      </c>
      <c r="B214" s="1" t="s">
        <v>277</v>
      </c>
      <c r="C214" s="1" t="s">
        <v>414</v>
      </c>
      <c r="D214" s="1" t="s">
        <v>13</v>
      </c>
      <c r="E214" s="1" t="s">
        <v>41</v>
      </c>
      <c r="F214" s="3" t="str">
        <f>HYPERLINK("https://drive.google.com/file/d/1CPov0YTgh4tOaA4zKw2xySa67-UJP_ak/view?usp=drivesdk", "12.5 MB")</f>
        <v>12.5 MB</v>
      </c>
    </row>
    <row r="215">
      <c r="A215" s="1" t="s">
        <v>415</v>
      </c>
      <c r="B215" s="1" t="s">
        <v>277</v>
      </c>
      <c r="C215" s="1" t="s">
        <v>416</v>
      </c>
      <c r="D215" s="1" t="s">
        <v>9</v>
      </c>
      <c r="E215" s="1" t="s">
        <v>10</v>
      </c>
      <c r="F215" s="3" t="str">
        <f>HYPERLINK("https://drive.google.com/file/d/16f2BX9YvD8PVnYY2-zxx1Us4uHdW0AVn/view?usp=drivesdk", "95.3 MB")</f>
        <v>95.3 MB</v>
      </c>
    </row>
    <row r="216">
      <c r="A216" s="1" t="s">
        <v>417</v>
      </c>
      <c r="B216" s="1" t="s">
        <v>277</v>
      </c>
      <c r="C216" s="1" t="s">
        <v>418</v>
      </c>
      <c r="D216" s="1" t="s">
        <v>13</v>
      </c>
      <c r="E216" s="1" t="s">
        <v>10</v>
      </c>
      <c r="F216" s="3" t="str">
        <f>HYPERLINK("https://drive.google.com/file/d/1ptz6FrT2Ypg3EIHRj2cXk_kOR_Di4BI3/view?usp=drivesdk", "57.7 MB")</f>
        <v>57.7 MB</v>
      </c>
    </row>
    <row r="217">
      <c r="A217" s="1" t="s">
        <v>419</v>
      </c>
      <c r="B217" s="1" t="s">
        <v>277</v>
      </c>
      <c r="C217" s="1" t="s">
        <v>420</v>
      </c>
      <c r="D217" s="1" t="s">
        <v>9</v>
      </c>
      <c r="E217" s="1" t="s">
        <v>93</v>
      </c>
      <c r="F217" s="3" t="str">
        <f>HYPERLINK("https://drive.google.com/file/d/1TLyKHYO47WWfxwZwkAUeokecW7B8TSIK/view?usp=drivesdk", "93.2 MB")</f>
        <v>93.2 MB</v>
      </c>
    </row>
    <row r="218">
      <c r="A218" s="1" t="s">
        <v>421</v>
      </c>
      <c r="B218" s="1" t="s">
        <v>277</v>
      </c>
      <c r="C218" s="1" t="s">
        <v>422</v>
      </c>
      <c r="D218" s="1" t="s">
        <v>13</v>
      </c>
      <c r="E218" s="1" t="s">
        <v>93</v>
      </c>
      <c r="F218" s="3" t="str">
        <f>HYPERLINK("https://drive.google.com/file/d/1QkDOSvjbdj5ZbclIHZmF78mS9DeKib21/view?usp=drivesdk", "69.6 MB")</f>
        <v>69.6 MB</v>
      </c>
    </row>
    <row r="219">
      <c r="A219" s="1" t="s">
        <v>347</v>
      </c>
      <c r="B219" s="1" t="s">
        <v>423</v>
      </c>
      <c r="C219" s="1" t="s">
        <v>424</v>
      </c>
      <c r="D219" s="1" t="s">
        <v>9</v>
      </c>
      <c r="E219" s="1" t="s">
        <v>16</v>
      </c>
      <c r="F219" s="3" t="str">
        <f>HYPERLINK("https://drive.google.com/file/d/1pq-Oz-gIrpOOf3rNprMcLdGtdzpsUXa4/view?usp=sharing", "63.8 MB")</f>
        <v>63.8 MB</v>
      </c>
    </row>
    <row r="220">
      <c r="A220" s="1" t="s">
        <v>347</v>
      </c>
      <c r="B220" s="1" t="s">
        <v>423</v>
      </c>
      <c r="C220" s="1" t="s">
        <v>424</v>
      </c>
      <c r="D220" s="1" t="s">
        <v>9</v>
      </c>
      <c r="E220" s="1" t="s">
        <v>41</v>
      </c>
      <c r="F220" s="3" t="str">
        <f>HYPERLINK("https://drive.google.com/file/d/1tl8xeDO-rwn1Inz8JJ5StDFkWGcrE6hy/view?usp=sharing", "63.8 MB")</f>
        <v>63.8 MB</v>
      </c>
    </row>
    <row r="221">
      <c r="A221" s="1" t="s">
        <v>347</v>
      </c>
      <c r="B221" s="1" t="s">
        <v>423</v>
      </c>
      <c r="C221" s="1" t="s">
        <v>424</v>
      </c>
      <c r="D221" s="1" t="s">
        <v>9</v>
      </c>
      <c r="E221" s="1" t="s">
        <v>10</v>
      </c>
      <c r="F221" s="3" t="str">
        <f>HYPERLINK("https://drive.google.com/file/d/1t_v8Im_aL5cBXCbNhENmqw4FQjvnmE6B/view?usp=sharing", "63.8 MB")</f>
        <v>63.8 MB</v>
      </c>
    </row>
    <row r="222">
      <c r="A222" s="1" t="s">
        <v>425</v>
      </c>
      <c r="B222" s="1" t="s">
        <v>423</v>
      </c>
      <c r="C222" s="1" t="s">
        <v>426</v>
      </c>
      <c r="D222" s="1" t="s">
        <v>9</v>
      </c>
      <c r="E222" s="1" t="s">
        <v>10</v>
      </c>
      <c r="F222" s="3" t="str">
        <f>HYPERLINK("https://drive.google.com/file/d/17mp0xnTsEtk0jWTs3NNgBGgM2PtVpsP-/view?usp=drivesdk", "63.4 MB")</f>
        <v>63.4 MB</v>
      </c>
    </row>
    <row r="223">
      <c r="A223" s="1" t="s">
        <v>427</v>
      </c>
      <c r="B223" s="1" t="s">
        <v>423</v>
      </c>
      <c r="C223" s="1" t="s">
        <v>428</v>
      </c>
      <c r="D223" s="1" t="s">
        <v>9</v>
      </c>
      <c r="E223" s="1" t="s">
        <v>16</v>
      </c>
      <c r="F223" s="3" t="str">
        <f>HYPERLINK("https://drive.google.com/file/d/1YMfCNVO7cVFee0l91vUpJKnp88gDVcfo/view?usp=drivesdk", "37 MB")</f>
        <v>37 MB</v>
      </c>
    </row>
    <row r="224">
      <c r="A224" s="1" t="s">
        <v>429</v>
      </c>
      <c r="B224" s="1" t="s">
        <v>423</v>
      </c>
      <c r="C224" s="1" t="s">
        <v>430</v>
      </c>
      <c r="D224" s="1" t="s">
        <v>9</v>
      </c>
      <c r="E224" s="1" t="s">
        <v>10</v>
      </c>
      <c r="F224" s="3" t="str">
        <f>HYPERLINK("https://drive.google.com/file/d/16_bm5vDe2HHTFqyoA0rVYquOprni8pZc/view?usp=drivesdk", "25.2 MB")</f>
        <v>25.2 MB</v>
      </c>
    </row>
    <row r="225">
      <c r="A225" s="1" t="s">
        <v>431</v>
      </c>
      <c r="B225" s="1" t="s">
        <v>423</v>
      </c>
      <c r="C225" s="1" t="s">
        <v>432</v>
      </c>
      <c r="D225" s="1" t="s">
        <v>9</v>
      </c>
      <c r="E225" s="1" t="s">
        <v>10</v>
      </c>
      <c r="F225" s="3" t="str">
        <f>HYPERLINK("https://drive.google.com/file/d/1Y3cpcDT85bOxuonDKEIMYuZxG3U9Q5l7/view?usp=drivesdk", "278 MB")</f>
        <v>278 MB</v>
      </c>
    </row>
    <row r="226">
      <c r="A226" s="1" t="s">
        <v>433</v>
      </c>
      <c r="B226" s="1" t="s">
        <v>423</v>
      </c>
      <c r="C226" s="1" t="s">
        <v>434</v>
      </c>
      <c r="D226" s="1" t="s">
        <v>9</v>
      </c>
      <c r="E226" s="1" t="s">
        <v>10</v>
      </c>
      <c r="F226" s="3" t="str">
        <f>HYPERLINK("https://drive.google.com/file/d/1kbhQzSiSfXGI37sbyou2ZDn5ybqP7Kx9/view?usp=drivesdk", "33.4 MB")</f>
        <v>33.4 MB</v>
      </c>
    </row>
    <row r="227">
      <c r="A227" s="1" t="s">
        <v>435</v>
      </c>
      <c r="B227" s="1" t="s">
        <v>423</v>
      </c>
      <c r="C227" s="1" t="s">
        <v>436</v>
      </c>
      <c r="D227" s="1" t="s">
        <v>9</v>
      </c>
      <c r="E227" s="1" t="s">
        <v>10</v>
      </c>
      <c r="F227" s="3" t="str">
        <f>HYPERLINK("https://drive.google.com/file/d/1TxMhk3-ei6L-OKN87D6cBTwVUHuijVwg/view?usp=drivesdk", "58.2 MB")</f>
        <v>58.2 MB</v>
      </c>
    </row>
    <row r="228">
      <c r="A228" s="1" t="s">
        <v>437</v>
      </c>
      <c r="B228" s="1" t="s">
        <v>423</v>
      </c>
      <c r="C228" s="1" t="s">
        <v>438</v>
      </c>
      <c r="D228" s="1" t="s">
        <v>9</v>
      </c>
      <c r="E228" s="1" t="s">
        <v>41</v>
      </c>
      <c r="F228" s="3" t="str">
        <f>HYPERLINK("https://drive.google.com/file/d/1uQ8ns07A7ZcEdqLbowRO0lAVFKO3rWD8/view?usp=drivesdk", "55.8 MB")</f>
        <v>55.8 MB</v>
      </c>
    </row>
    <row r="229">
      <c r="A229" s="1" t="s">
        <v>439</v>
      </c>
      <c r="B229" s="1" t="s">
        <v>423</v>
      </c>
      <c r="C229" s="1" t="s">
        <v>438</v>
      </c>
      <c r="D229" s="1" t="s">
        <v>9</v>
      </c>
      <c r="E229" s="1" t="s">
        <v>16</v>
      </c>
      <c r="F229" s="3" t="str">
        <f>HYPERLINK("https://drive.google.com/file/d/1QjqfTwVofheX36PyBLOLO2ll2MWWwQP4/view?usp=drivesdk", "55.8 MB")</f>
        <v>55.8 MB</v>
      </c>
    </row>
    <row r="230">
      <c r="A230" s="1" t="s">
        <v>440</v>
      </c>
      <c r="B230" s="1" t="s">
        <v>423</v>
      </c>
      <c r="C230" s="1" t="s">
        <v>441</v>
      </c>
      <c r="D230" s="1" t="s">
        <v>9</v>
      </c>
      <c r="E230" s="1" t="s">
        <v>10</v>
      </c>
      <c r="F230" s="3" t="str">
        <f>HYPERLINK("https://drive.google.com/file/d/1vex1mgvMgmrp_kP65vQ8fkfSaEA2Bwns/view?usp=drivesdk", "69.4 MB")</f>
        <v>69.4 MB</v>
      </c>
    </row>
    <row r="231">
      <c r="A231" s="1" t="s">
        <v>442</v>
      </c>
      <c r="B231" s="1" t="s">
        <v>423</v>
      </c>
      <c r="C231" s="1" t="s">
        <v>443</v>
      </c>
      <c r="D231" s="1" t="s">
        <v>9</v>
      </c>
      <c r="E231" s="1" t="s">
        <v>10</v>
      </c>
      <c r="F231" s="3" t="str">
        <f>HYPERLINK("https://drive.google.com/file/d/1Iwfb4zrYtUamLEtp3wiIQDzZpnXFwWgu/view?usp=drivesdk", "49.5 MB")</f>
        <v>49.5 MB</v>
      </c>
    </row>
    <row r="232">
      <c r="A232" s="1" t="s">
        <v>444</v>
      </c>
      <c r="B232" s="1" t="s">
        <v>423</v>
      </c>
      <c r="C232" s="1" t="s">
        <v>445</v>
      </c>
      <c r="D232" s="1" t="s">
        <v>9</v>
      </c>
      <c r="E232" s="1" t="s">
        <v>41</v>
      </c>
      <c r="F232" s="3" t="str">
        <f>HYPERLINK("https://drive.google.com/file/d/1ztMec91z_Y2_YskzsTjJ0tmxIpbAob3f/view?usp=drivesdk", "43.7 MB")</f>
        <v>43.7 MB</v>
      </c>
    </row>
    <row r="233">
      <c r="A233" s="1" t="s">
        <v>446</v>
      </c>
      <c r="B233" s="1" t="s">
        <v>423</v>
      </c>
      <c r="C233" s="1" t="s">
        <v>447</v>
      </c>
      <c r="D233" s="1" t="s">
        <v>9</v>
      </c>
      <c r="E233" s="1" t="s">
        <v>10</v>
      </c>
      <c r="F233" s="3" t="str">
        <f>HYPERLINK("https://drive.google.com/file/d/1vtZH6-uyt5qF0bEYiKjpyt8YTBwdnrmD/view?usp=drivesdk", "69.2 MB")</f>
        <v>69.2 MB</v>
      </c>
    </row>
    <row r="234">
      <c r="A234" s="1" t="s">
        <v>448</v>
      </c>
      <c r="B234" s="1" t="s">
        <v>423</v>
      </c>
      <c r="C234" s="1" t="s">
        <v>449</v>
      </c>
      <c r="D234" s="1" t="s">
        <v>9</v>
      </c>
      <c r="E234" s="1" t="s">
        <v>10</v>
      </c>
      <c r="F234" s="3" t="str">
        <f>HYPERLINK("https://drive.google.com/file/d/1oOXPuTW16MKdSvCBMcLr_tVjPH2OkGw0/view?usp=drivesdk", "72.5 MB")</f>
        <v>72.5 MB</v>
      </c>
    </row>
    <row r="235">
      <c r="A235" s="1" t="s">
        <v>450</v>
      </c>
      <c r="B235" s="1" t="s">
        <v>423</v>
      </c>
      <c r="C235" s="1" t="s">
        <v>451</v>
      </c>
      <c r="D235" s="1" t="s">
        <v>9</v>
      </c>
      <c r="E235" s="1" t="s">
        <v>10</v>
      </c>
      <c r="F235" s="3" t="str">
        <f>HYPERLINK("https://drive.google.com/file/d/1k6MoS2y8BLFo61OkzhOMlnBubCtjtzh0/view?usp=drivesdk", "74.1 MB")</f>
        <v>74.1 MB</v>
      </c>
    </row>
    <row r="236">
      <c r="A236" s="1" t="s">
        <v>452</v>
      </c>
      <c r="B236" s="1" t="s">
        <v>423</v>
      </c>
      <c r="C236" s="1" t="s">
        <v>453</v>
      </c>
      <c r="D236" s="1" t="s">
        <v>9</v>
      </c>
      <c r="E236" s="1" t="s">
        <v>10</v>
      </c>
      <c r="F236" s="3" t="str">
        <f>HYPERLINK("https://drive.google.com/file/d/18HBJGkISRXWrdGtlZr9UriTS0Xp-48kU/view?usp=drivesdk", "94 MB")</f>
        <v>94 MB</v>
      </c>
    </row>
    <row r="237">
      <c r="A237" s="1" t="s">
        <v>454</v>
      </c>
      <c r="B237" s="1" t="s">
        <v>423</v>
      </c>
      <c r="C237" s="1" t="s">
        <v>455</v>
      </c>
      <c r="D237" s="1" t="s">
        <v>9</v>
      </c>
      <c r="E237" s="1" t="s">
        <v>10</v>
      </c>
      <c r="F237" s="3" t="str">
        <f>HYPERLINK("https://drive.google.com/file/d/107zhfRza_8fKDYjfVW3_kyhBirTtIFVA/view?usp=drivesdk", "42.4 MB")</f>
        <v>42.4 MB</v>
      </c>
    </row>
    <row r="238">
      <c r="A238" s="1" t="s">
        <v>456</v>
      </c>
      <c r="B238" s="1" t="s">
        <v>423</v>
      </c>
      <c r="C238" s="1" t="s">
        <v>457</v>
      </c>
      <c r="D238" s="1" t="s">
        <v>9</v>
      </c>
      <c r="E238" s="1" t="s">
        <v>16</v>
      </c>
      <c r="F238" s="3" t="str">
        <f>HYPERLINK("https://drive.google.com/file/d/1Flx-OyYDjIQ_tVjSpzI2sPXlsLDnXsnI/view?usp=drivesdk", "89.6 MB")</f>
        <v>89.6 MB</v>
      </c>
    </row>
    <row r="239">
      <c r="A239" s="1" t="s">
        <v>458</v>
      </c>
      <c r="B239" s="1" t="s">
        <v>423</v>
      </c>
      <c r="C239" s="1" t="s">
        <v>459</v>
      </c>
      <c r="D239" s="1" t="s">
        <v>9</v>
      </c>
      <c r="E239" s="1" t="s">
        <v>41</v>
      </c>
      <c r="F239" s="3" t="str">
        <f>HYPERLINK("https://drive.google.com/file/d/1sNSML2TTrF4krbHwtcNA1M1pzNLdSsQP/view?usp=drivesdk", "69.6 MB")</f>
        <v>69.6 MB</v>
      </c>
    </row>
    <row r="240">
      <c r="A240" s="1" t="s">
        <v>460</v>
      </c>
      <c r="B240" s="1" t="s">
        <v>423</v>
      </c>
      <c r="C240" s="1" t="s">
        <v>461</v>
      </c>
      <c r="D240" s="1" t="s">
        <v>9</v>
      </c>
      <c r="E240" s="1" t="s">
        <v>10</v>
      </c>
      <c r="F240" s="3" t="str">
        <f>HYPERLINK("https://drive.google.com/file/d/1x6R108MS6pyAs6f1XqUMyXH0wNtZ3yLt/view?usp=drivesdk", "94.6 MB")</f>
        <v>94.6 MB</v>
      </c>
    </row>
    <row r="241">
      <c r="A241" s="1" t="s">
        <v>462</v>
      </c>
      <c r="B241" s="1" t="s">
        <v>423</v>
      </c>
      <c r="C241" s="1" t="s">
        <v>463</v>
      </c>
      <c r="D241" s="1" t="s">
        <v>9</v>
      </c>
      <c r="E241" s="1" t="s">
        <v>10</v>
      </c>
      <c r="F241" s="3" t="str">
        <f>HYPERLINK("https://drive.google.com/file/d/1VnnrXBRwcVAi8DS66bf0iE2C0SCBRLml/view?usp=drivesdk", "51.7 MB")</f>
        <v>51.7 MB</v>
      </c>
    </row>
    <row r="242">
      <c r="A242" s="1" t="s">
        <v>464</v>
      </c>
      <c r="B242" s="1" t="s">
        <v>423</v>
      </c>
      <c r="C242" s="1" t="s">
        <v>465</v>
      </c>
      <c r="D242" s="1" t="s">
        <v>9</v>
      </c>
      <c r="E242" s="1" t="s">
        <v>93</v>
      </c>
      <c r="F242" s="3" t="str">
        <f>HYPERLINK("https://drive.google.com/file/d/1RZHRqMoy_sicdN13rjQAQrxIzv6bR6AB/view?usp=drivesdk", "83 MB")</f>
        <v>83 MB</v>
      </c>
    </row>
    <row r="243">
      <c r="A243" s="1" t="s">
        <v>466</v>
      </c>
      <c r="B243" s="1" t="s">
        <v>423</v>
      </c>
      <c r="C243" s="1" t="s">
        <v>467</v>
      </c>
      <c r="D243" s="1" t="s">
        <v>9</v>
      </c>
      <c r="E243" s="1" t="s">
        <v>93</v>
      </c>
      <c r="F243" s="3" t="str">
        <f>HYPERLINK("https://drive.google.com/file/d/1cUOxQjFxPGWBzg32qFQXongnhltSzfRZ/view?usp=drivesdk", "63.6 MB")</f>
        <v>63.6 MB</v>
      </c>
    </row>
    <row r="244">
      <c r="A244" s="1" t="s">
        <v>468</v>
      </c>
      <c r="B244" s="1" t="s">
        <v>423</v>
      </c>
      <c r="C244" s="1" t="s">
        <v>469</v>
      </c>
      <c r="D244" s="1" t="s">
        <v>9</v>
      </c>
      <c r="E244" s="1" t="s">
        <v>10</v>
      </c>
      <c r="F244" s="3" t="str">
        <f t="shared" ref="F244:F246" si="5">HYPERLINK("https://drive.google.com/file/d/1MXnwGvlDYPId0WfXuguj7z9dj4vGEeg0/view?usp=drivesdk", "43.6 MB")</f>
        <v>43.6 MB</v>
      </c>
    </row>
    <row r="245">
      <c r="A245" s="1" t="s">
        <v>468</v>
      </c>
      <c r="B245" s="1" t="s">
        <v>423</v>
      </c>
      <c r="C245" s="1" t="s">
        <v>469</v>
      </c>
      <c r="D245" s="1" t="s">
        <v>9</v>
      </c>
      <c r="E245" s="1" t="s">
        <v>41</v>
      </c>
      <c r="F245" s="3" t="str">
        <f t="shared" si="5"/>
        <v>43.6 MB</v>
      </c>
    </row>
    <row r="246">
      <c r="A246" s="1" t="s">
        <v>468</v>
      </c>
      <c r="B246" s="1" t="s">
        <v>423</v>
      </c>
      <c r="C246" s="1" t="s">
        <v>469</v>
      </c>
      <c r="D246" s="1" t="s">
        <v>9</v>
      </c>
      <c r="E246" s="1" t="s">
        <v>16</v>
      </c>
      <c r="F246" s="3" t="str">
        <f t="shared" si="5"/>
        <v>43.6 MB</v>
      </c>
    </row>
    <row r="247">
      <c r="A247" s="1" t="s">
        <v>470</v>
      </c>
      <c r="B247" s="1" t="s">
        <v>423</v>
      </c>
      <c r="C247" s="1" t="s">
        <v>471</v>
      </c>
      <c r="D247" s="1" t="s">
        <v>9</v>
      </c>
      <c r="E247" s="1" t="s">
        <v>16</v>
      </c>
      <c r="F247" s="3" t="str">
        <f>HYPERLINK("https://drive.google.com/file/d/1_foZYOwaLfxE5Pe31MS1eW8uykiTGoOl/view?usp=drivesdk", "50 MB")</f>
        <v>50 MB</v>
      </c>
    </row>
    <row r="248">
      <c r="A248" s="1" t="s">
        <v>472</v>
      </c>
      <c r="B248" s="1" t="s">
        <v>423</v>
      </c>
      <c r="C248" s="1" t="s">
        <v>473</v>
      </c>
      <c r="D248" s="1" t="s">
        <v>9</v>
      </c>
      <c r="E248" s="1" t="s">
        <v>41</v>
      </c>
      <c r="F248" s="3" t="str">
        <f>HYPERLINK("https://drive.google.com/file/d/1FddusA0x5rwBbUkL5SyxieEVCam8LpDJ/view?usp=drivesdk", "23.6 MB")</f>
        <v>23.6 MB</v>
      </c>
    </row>
    <row r="249">
      <c r="A249" s="1" t="s">
        <v>474</v>
      </c>
      <c r="B249" s="1" t="s">
        <v>423</v>
      </c>
      <c r="C249" s="1" t="s">
        <v>475</v>
      </c>
      <c r="D249" s="1" t="s">
        <v>9</v>
      </c>
      <c r="E249" s="1" t="s">
        <v>10</v>
      </c>
      <c r="F249" s="3" t="str">
        <f>HYPERLINK("https://drive.google.com/file/d/1O2RkXAkmK1zN9Re9gI6peGyyfOS-GIl2/view?usp=drivesdk", "56.5 MB")</f>
        <v>56.5 MB</v>
      </c>
    </row>
    <row r="250">
      <c r="A250" s="1" t="s">
        <v>476</v>
      </c>
      <c r="B250" s="1" t="s">
        <v>423</v>
      </c>
      <c r="C250" s="1" t="s">
        <v>477</v>
      </c>
      <c r="D250" s="1" t="s">
        <v>9</v>
      </c>
      <c r="E250" s="1" t="s">
        <v>16</v>
      </c>
      <c r="F250" s="3" t="str">
        <f>HYPERLINK("https://drive.google.com/file/d/1M4Za-kOgtGYl3hhUB2VK1WOutdaYOgXw/view?usp=drivesdk", "67.1 MB")</f>
        <v>67.1 MB</v>
      </c>
    </row>
    <row r="251">
      <c r="A251" s="1" t="s">
        <v>478</v>
      </c>
      <c r="B251" s="1" t="s">
        <v>423</v>
      </c>
      <c r="C251" s="1" t="s">
        <v>479</v>
      </c>
      <c r="D251" s="1" t="s">
        <v>9</v>
      </c>
      <c r="E251" s="1" t="s">
        <v>41</v>
      </c>
      <c r="F251" s="3" t="str">
        <f>HYPERLINK("https://drive.google.com/file/d/1vjFhSrKgt8Z2PTevyl0mgI5Sudg7c9xa/view?usp=drivesdk", "25.8 MB")</f>
        <v>25.8 MB</v>
      </c>
    </row>
    <row r="252">
      <c r="A252" s="1" t="s">
        <v>480</v>
      </c>
      <c r="B252" s="1" t="s">
        <v>423</v>
      </c>
      <c r="C252" s="1" t="s">
        <v>481</v>
      </c>
      <c r="D252" s="1" t="s">
        <v>9</v>
      </c>
      <c r="E252" s="1" t="s">
        <v>10</v>
      </c>
      <c r="F252" s="3" t="str">
        <f>HYPERLINK("https://drive.google.com/file/d/1pjcDuCKIByXG3dNZz7t7xK4ItxBQnCHg/view?usp=drivesdk", "86.9 MB")</f>
        <v>86.9 MB</v>
      </c>
    </row>
    <row r="253">
      <c r="A253" s="1" t="s">
        <v>482</v>
      </c>
      <c r="B253" s="1" t="s">
        <v>423</v>
      </c>
      <c r="C253" s="1" t="s">
        <v>483</v>
      </c>
      <c r="D253" s="1" t="s">
        <v>9</v>
      </c>
      <c r="E253" s="1" t="s">
        <v>16</v>
      </c>
      <c r="F253" s="3" t="str">
        <f>HYPERLINK("https://drive.google.com/file/d/140sIyB8d-nwIw9Vd6AVhc_W93mVQOHrV/view?usp=drivesdk", "64.7 MB")</f>
        <v>64.7 MB</v>
      </c>
    </row>
    <row r="254">
      <c r="A254" s="1" t="s">
        <v>484</v>
      </c>
      <c r="B254" s="1" t="s">
        <v>423</v>
      </c>
      <c r="C254" s="1" t="s">
        <v>485</v>
      </c>
      <c r="D254" s="1" t="s">
        <v>9</v>
      </c>
      <c r="E254" s="1" t="s">
        <v>41</v>
      </c>
      <c r="F254" s="3" t="str">
        <f>HYPERLINK("https://drive.google.com/file/d/1IzwDgWuD_SbU8GDm58JoSUzMP8aTa1Fv/view?usp=drivesdk", "24 MB")</f>
        <v>24 MB</v>
      </c>
    </row>
    <row r="255">
      <c r="A255" s="1" t="s">
        <v>486</v>
      </c>
      <c r="B255" s="1" t="s">
        <v>423</v>
      </c>
      <c r="C255" s="1" t="s">
        <v>487</v>
      </c>
      <c r="D255" s="1" t="s">
        <v>9</v>
      </c>
      <c r="E255" s="1" t="s">
        <v>10</v>
      </c>
      <c r="F255" s="3" t="str">
        <f>HYPERLINK("https://drive.google.com/file/d/1Iy13eSn1py7xXgvIFE2DBrGYE0CuhkCp/view?usp=drivesdk", "115 MB")</f>
        <v>115 MB</v>
      </c>
    </row>
    <row r="256">
      <c r="A256" s="1" t="s">
        <v>488</v>
      </c>
      <c r="B256" s="1" t="s">
        <v>423</v>
      </c>
      <c r="C256" s="1" t="s">
        <v>489</v>
      </c>
      <c r="D256" s="1" t="s">
        <v>9</v>
      </c>
      <c r="E256" s="1" t="s">
        <v>10</v>
      </c>
      <c r="F256" s="3" t="str">
        <f>HYPERLINK("https://drive.google.com/file/d/1Rc97SDf6Megn4CNdP-2KW8Je1NKJtQgT/view?usp=drivesdk", "44.4 MB")</f>
        <v>44.4 MB</v>
      </c>
    </row>
    <row r="257">
      <c r="A257" s="1" t="s">
        <v>490</v>
      </c>
      <c r="B257" s="1" t="s">
        <v>423</v>
      </c>
      <c r="C257" s="1" t="s">
        <v>491</v>
      </c>
      <c r="D257" s="1" t="s">
        <v>9</v>
      </c>
      <c r="E257" s="1" t="s">
        <v>10</v>
      </c>
      <c r="F257" s="3" t="str">
        <f>HYPERLINK("https://drive.google.com/file/d/1PP0TpF1abnxxKZzG3YmXfNxiWO8etCW9/view?usp=drivesdk", "64.6 MB")</f>
        <v>64.6 MB</v>
      </c>
    </row>
    <row r="258">
      <c r="A258" s="1" t="s">
        <v>492</v>
      </c>
      <c r="B258" s="1" t="s">
        <v>423</v>
      </c>
      <c r="C258" s="1" t="s">
        <v>493</v>
      </c>
      <c r="D258" s="1" t="s">
        <v>9</v>
      </c>
      <c r="E258" s="1" t="s">
        <v>16</v>
      </c>
      <c r="F258" s="3" t="str">
        <f>HYPERLINK("https://drive.google.com/file/d/1Hb_u4k6YvYBd3S5AN_emmmSIKd-iG0G9/view?usp=drivesdk", "31.4 MB")</f>
        <v>31.4 MB</v>
      </c>
    </row>
    <row r="259">
      <c r="A259" s="1" t="s">
        <v>494</v>
      </c>
      <c r="B259" s="1" t="s">
        <v>423</v>
      </c>
      <c r="C259" s="1" t="s">
        <v>495</v>
      </c>
      <c r="D259" s="1" t="s">
        <v>9</v>
      </c>
      <c r="E259" s="1" t="s">
        <v>41</v>
      </c>
      <c r="F259" s="3" t="str">
        <f>HYPERLINK("https://drive.google.com/file/d/1HbYn7gu4TxW-IBBOwTpwEiL3qz-tXVIm/view?usp=drivesdk", "25.7 MB")</f>
        <v>25.7 MB</v>
      </c>
    </row>
    <row r="260">
      <c r="A260" s="1" t="s">
        <v>496</v>
      </c>
      <c r="B260" s="1" t="s">
        <v>423</v>
      </c>
      <c r="C260" s="1" t="s">
        <v>497</v>
      </c>
      <c r="D260" s="1" t="s">
        <v>9</v>
      </c>
      <c r="E260" s="1" t="s">
        <v>10</v>
      </c>
      <c r="F260" s="3" t="str">
        <f>HYPERLINK("https://drive.google.com/file/d/1gOyASNVX6F7I0ilMitLS5A6Ue1OXAtTG/view?usp=drivesdk", "71.6 MB")</f>
        <v>71.6 MB</v>
      </c>
    </row>
    <row r="261">
      <c r="A261" s="1" t="s">
        <v>498</v>
      </c>
      <c r="B261" s="1" t="s">
        <v>423</v>
      </c>
      <c r="C261" s="1" t="s">
        <v>499</v>
      </c>
      <c r="D261" s="1" t="s">
        <v>9</v>
      </c>
      <c r="E261" s="1" t="s">
        <v>10</v>
      </c>
      <c r="F261" s="3" t="str">
        <f>HYPERLINK("https://drive.google.com/file/d/1CoqCsRqDvSo3FEbahNzG2LZp0Nmz41hh/view?usp=drivesdk", "34.4 MB")</f>
        <v>34.4 MB</v>
      </c>
    </row>
    <row r="262">
      <c r="A262" s="1" t="s">
        <v>500</v>
      </c>
      <c r="B262" s="1" t="s">
        <v>423</v>
      </c>
      <c r="C262" s="1" t="s">
        <v>501</v>
      </c>
      <c r="D262" s="1" t="s">
        <v>9</v>
      </c>
      <c r="E262" s="1" t="s">
        <v>10</v>
      </c>
      <c r="F262" s="3" t="str">
        <f>HYPERLINK("https://drive.google.com/file/d/1P-xokpVYpVyvQT-m0QB4aflrD8BN2viM/view?usp=drivesdk", "98.7 MB")</f>
        <v>98.7 MB</v>
      </c>
    </row>
    <row r="263">
      <c r="A263" s="1" t="s">
        <v>502</v>
      </c>
      <c r="B263" s="1" t="s">
        <v>423</v>
      </c>
      <c r="C263" s="1" t="s">
        <v>503</v>
      </c>
      <c r="D263" s="1" t="s">
        <v>9</v>
      </c>
      <c r="E263" s="1" t="s">
        <v>10</v>
      </c>
      <c r="F263" s="3" t="str">
        <f>HYPERLINK("https://drive.google.com/file/d/1bS08q594bv0auSK3F1B-nJxtG4q3vR6X/view?usp=drivesdk", "44.2 MB")</f>
        <v>44.2 MB</v>
      </c>
    </row>
    <row r="264">
      <c r="A264" s="1" t="s">
        <v>504</v>
      </c>
      <c r="B264" s="1" t="s">
        <v>423</v>
      </c>
      <c r="C264" s="1" t="s">
        <v>505</v>
      </c>
      <c r="D264" s="1" t="s">
        <v>9</v>
      </c>
      <c r="E264" s="1" t="s">
        <v>10</v>
      </c>
      <c r="F264" s="3" t="str">
        <f>HYPERLINK("https://drive.google.com/file/d/1us_J9gLCNV-U30pgopY0uYtXB5Ue4f9f/view?usp=drivesdk", "65.2 MB")</f>
        <v>65.2 MB</v>
      </c>
    </row>
    <row r="265">
      <c r="A265" s="1" t="s">
        <v>506</v>
      </c>
      <c r="B265" s="1" t="s">
        <v>423</v>
      </c>
      <c r="C265" s="1" t="s">
        <v>507</v>
      </c>
      <c r="D265" s="1" t="s">
        <v>9</v>
      </c>
      <c r="E265" s="1" t="s">
        <v>10</v>
      </c>
      <c r="F265" s="3" t="str">
        <f>HYPERLINK("https://drive.google.com/file/d/1Dkt6-_jkF-t1ofHDJd9UtQw8RcWp3yHU/view?usp=drivesdk", "32.6 MB")</f>
        <v>32.6 MB</v>
      </c>
    </row>
    <row r="266">
      <c r="A266" s="1" t="s">
        <v>508</v>
      </c>
      <c r="B266" s="1" t="s">
        <v>423</v>
      </c>
      <c r="C266" s="1" t="s">
        <v>509</v>
      </c>
      <c r="D266" s="1" t="s">
        <v>9</v>
      </c>
      <c r="E266" s="1" t="s">
        <v>10</v>
      </c>
      <c r="F266" s="3" t="str">
        <f>HYPERLINK("https://drive.google.com/file/d/1iDS5T07O5raR48IM4AVbx6srOspm_V1z/view?usp=drivesdk", "87.6 MB")</f>
        <v>87.6 MB</v>
      </c>
    </row>
    <row r="267">
      <c r="A267" s="1" t="s">
        <v>510</v>
      </c>
      <c r="B267" s="1" t="s">
        <v>423</v>
      </c>
      <c r="C267" s="1" t="s">
        <v>511</v>
      </c>
      <c r="D267" s="1" t="s">
        <v>9</v>
      </c>
      <c r="E267" s="1" t="s">
        <v>10</v>
      </c>
      <c r="F267" s="3" t="str">
        <f>HYPERLINK("https://drive.google.com/file/d/18RIkk3ZSpG-Y_vw7Dmx22zXKTfngtlpv/view?usp=drivesdk", "75.3 MB")</f>
        <v>75.3 MB</v>
      </c>
    </row>
    <row r="268">
      <c r="A268" s="1" t="s">
        <v>512</v>
      </c>
      <c r="B268" s="1" t="s">
        <v>423</v>
      </c>
      <c r="C268" s="1" t="s">
        <v>513</v>
      </c>
      <c r="D268" s="1" t="s">
        <v>9</v>
      </c>
      <c r="E268" s="1" t="s">
        <v>10</v>
      </c>
      <c r="F268" s="3" t="str">
        <f>HYPERLINK("https://drive.google.com/file/d/1hACUxmPbHehc37qEeq-W_XpKP1P6JvSg/view?usp=drivesdk", "68.4 MB")</f>
        <v>68.4 MB</v>
      </c>
    </row>
    <row r="269">
      <c r="A269" s="1" t="s">
        <v>514</v>
      </c>
      <c r="B269" s="1" t="s">
        <v>423</v>
      </c>
      <c r="C269" s="1" t="s">
        <v>515</v>
      </c>
      <c r="D269" s="1" t="s">
        <v>9</v>
      </c>
      <c r="E269" s="1" t="s">
        <v>16</v>
      </c>
      <c r="F269" s="3" t="str">
        <f>HYPERLINK("https://drive.google.com/file/d/1zdrEoEehAA3yC97k6KMN1zFICiprMh4o/view?usp=drive_link", "58.6 MB")</f>
        <v>58.6 MB</v>
      </c>
    </row>
    <row r="270">
      <c r="A270" s="1" t="s">
        <v>516</v>
      </c>
      <c r="B270" s="1" t="s">
        <v>423</v>
      </c>
      <c r="C270" s="1" t="s">
        <v>517</v>
      </c>
      <c r="D270" s="1" t="s">
        <v>9</v>
      </c>
      <c r="E270" s="1" t="s">
        <v>41</v>
      </c>
      <c r="F270" s="3" t="str">
        <f>HYPERLINK("https://drive.google.com/file/d/1WgQTKVFvz7mSwKlWZzfyvcR7zAdU1zHq/view?usp=drivesdk", "68.9 MB")</f>
        <v>68.9 MB</v>
      </c>
    </row>
    <row r="271">
      <c r="A271" s="1" t="s">
        <v>518</v>
      </c>
      <c r="B271" s="1" t="s">
        <v>423</v>
      </c>
      <c r="C271" s="1" t="s">
        <v>519</v>
      </c>
      <c r="D271" s="1" t="s">
        <v>9</v>
      </c>
      <c r="E271" s="1" t="s">
        <v>10</v>
      </c>
      <c r="F271" s="3" t="str">
        <f>HYPERLINK("https://drive.google.com/file/d/1w8Ud0is_p5Q5rDguN_s6JaX5SgaFQOz4/view?usp=drivesdk", "81.6 MB")</f>
        <v>81.6 MB</v>
      </c>
    </row>
    <row r="272">
      <c r="A272" s="1" t="s">
        <v>520</v>
      </c>
      <c r="B272" s="1" t="s">
        <v>423</v>
      </c>
      <c r="C272" s="1" t="s">
        <v>521</v>
      </c>
      <c r="D272" s="1" t="s">
        <v>9</v>
      </c>
      <c r="E272" s="1" t="s">
        <v>10</v>
      </c>
      <c r="F272" s="3" t="str">
        <f>HYPERLINK("https://drive.google.com/file/d/1W6B18V5jp-e74gbv7j4Z38QfwtgUyYZy/view?usp=drivesdk", "36.3 MB")</f>
        <v>36.3 MB</v>
      </c>
    </row>
    <row r="273">
      <c r="A273" s="1" t="s">
        <v>522</v>
      </c>
      <c r="B273" s="1" t="s">
        <v>423</v>
      </c>
      <c r="C273" s="1" t="s">
        <v>523</v>
      </c>
      <c r="D273" s="1" t="s">
        <v>9</v>
      </c>
      <c r="E273" s="1" t="s">
        <v>93</v>
      </c>
      <c r="F273" s="3" t="str">
        <f>HYPERLINK("https://drive.google.com/file/d/1KDGSo3IKmdvNANgtQk1x0V3cAQj8vqPL/view?usp=drivesdk", "86.4 MB")</f>
        <v>86.4 MB</v>
      </c>
    </row>
    <row r="274">
      <c r="A274" s="1" t="s">
        <v>524</v>
      </c>
      <c r="B274" s="1" t="s">
        <v>423</v>
      </c>
      <c r="C274" s="1" t="s">
        <v>525</v>
      </c>
      <c r="D274" s="1" t="s">
        <v>9</v>
      </c>
      <c r="E274" s="1" t="s">
        <v>16</v>
      </c>
      <c r="F274" s="3" t="str">
        <f>HYPERLINK("https://drive.google.com/file/d/1FikuBOdaevOTn6e6RBVOwFQ-yTDIeNfS/view?usp=drivesdk", "95.7 MB")</f>
        <v>95.7 MB</v>
      </c>
    </row>
    <row r="275">
      <c r="A275" s="1" t="s">
        <v>526</v>
      </c>
      <c r="B275" s="1" t="s">
        <v>423</v>
      </c>
      <c r="C275" s="1" t="s">
        <v>527</v>
      </c>
      <c r="D275" s="1" t="s">
        <v>9</v>
      </c>
      <c r="E275" s="1" t="s">
        <v>41</v>
      </c>
      <c r="F275" s="3" t="str">
        <f>HYPERLINK("https://drive.google.com/file/d/1kforGkqt5PJbn65j4BKdeKgrV947Mekj/view?usp=drivesdk", "89.9 MB")</f>
        <v>89.9 MB</v>
      </c>
    </row>
    <row r="276">
      <c r="A276" s="1" t="s">
        <v>528</v>
      </c>
      <c r="B276" s="1" t="s">
        <v>423</v>
      </c>
      <c r="C276" s="1" t="s">
        <v>529</v>
      </c>
      <c r="D276" s="1" t="s">
        <v>9</v>
      </c>
      <c r="E276" s="1" t="s">
        <v>10</v>
      </c>
      <c r="F276" s="3" t="str">
        <f>HYPERLINK("https://drive.google.com/file/d/1-veqPPpy6RqdJ5-pUm4qHuUlAxnh1SgZ/view?usp=drivesdk", "75.3 MB")</f>
        <v>75.3 MB</v>
      </c>
    </row>
    <row r="277">
      <c r="A277" s="1" t="s">
        <v>530</v>
      </c>
      <c r="B277" s="1" t="s">
        <v>423</v>
      </c>
      <c r="C277" s="1" t="s">
        <v>531</v>
      </c>
      <c r="D277" s="1" t="s">
        <v>9</v>
      </c>
      <c r="E277" s="1" t="s">
        <v>10</v>
      </c>
      <c r="F277" s="3" t="str">
        <f>HYPERLINK("https://drive.google.com/file/d/1CVfXuVii5eOk1HUCEmrNpwrBwn3yEQUQ/view?usp=drivesdk", "63.6 MB")</f>
        <v>63.6 MB</v>
      </c>
    </row>
    <row r="278">
      <c r="A278" s="1" t="s">
        <v>347</v>
      </c>
      <c r="B278" s="1" t="s">
        <v>532</v>
      </c>
      <c r="C278" s="1" t="s">
        <v>424</v>
      </c>
      <c r="D278" s="1" t="s">
        <v>9</v>
      </c>
      <c r="E278" s="1" t="s">
        <v>16</v>
      </c>
      <c r="F278" s="3" t="str">
        <f>HYPERLINK("https://drive.google.com/file/d/1V6FcKEaddLfohUyVtIVAxYNr_HGX9dTG/view?usp=sharing", "63.8 MB")</f>
        <v>63.8 MB</v>
      </c>
    </row>
    <row r="279">
      <c r="A279" s="1" t="s">
        <v>347</v>
      </c>
      <c r="B279" s="1" t="s">
        <v>532</v>
      </c>
      <c r="C279" s="1" t="s">
        <v>424</v>
      </c>
      <c r="D279" s="1" t="s">
        <v>9</v>
      </c>
      <c r="E279" s="1" t="s">
        <v>10</v>
      </c>
      <c r="F279" s="3" t="str">
        <f>HYPERLINK("https://drive.google.com/file/d/1lzGGYV2QgjRA1vJ02jwE7NpcZaaFbRWt/view?usp=sharing", "63.8 MB")</f>
        <v>63.8 MB</v>
      </c>
    </row>
    <row r="280">
      <c r="A280" s="1" t="s">
        <v>347</v>
      </c>
      <c r="B280" s="1" t="s">
        <v>532</v>
      </c>
      <c r="C280" s="1" t="s">
        <v>424</v>
      </c>
      <c r="D280" s="1" t="s">
        <v>9</v>
      </c>
      <c r="E280" s="1" t="s">
        <v>41</v>
      </c>
      <c r="F280" s="3" t="str">
        <f>HYPERLINK("https://drive.google.com/file/d/1_NeLNVrr0B_nqpNVmXOE6EEjog1CXxR-/view?usp=sharing", "63.8 MB")</f>
        <v>63.8 MB</v>
      </c>
    </row>
    <row r="281">
      <c r="A281" s="1" t="s">
        <v>533</v>
      </c>
      <c r="B281" s="1" t="s">
        <v>532</v>
      </c>
      <c r="C281" s="1" t="s">
        <v>534</v>
      </c>
      <c r="D281" s="1" t="s">
        <v>9</v>
      </c>
      <c r="E281" s="1" t="s">
        <v>10</v>
      </c>
      <c r="F281" s="3" t="str">
        <f>HYPERLINK("https://drive.google.com/file/d/16c1FgLyKGfKsFgOaP0rC_rflsF1SWwjj/view?usp=drivesdk", "64.2 MB")</f>
        <v>64.2 MB</v>
      </c>
    </row>
    <row r="282">
      <c r="A282" s="1" t="s">
        <v>535</v>
      </c>
      <c r="B282" s="1" t="s">
        <v>532</v>
      </c>
      <c r="C282" s="1" t="s">
        <v>536</v>
      </c>
      <c r="D282" s="1" t="s">
        <v>9</v>
      </c>
      <c r="E282" s="1" t="s">
        <v>16</v>
      </c>
      <c r="F282" s="3" t="str">
        <f>HYPERLINK("https://drive.google.com/file/d/1TcWRuXYD3RmFpScctZVYFMKiTLZk7cVy/view?usp=drivesdk", "84.9 MB")</f>
        <v>84.9 MB</v>
      </c>
    </row>
    <row r="283">
      <c r="A283" s="1" t="s">
        <v>537</v>
      </c>
      <c r="B283" s="1" t="s">
        <v>532</v>
      </c>
      <c r="C283" s="1" t="s">
        <v>538</v>
      </c>
      <c r="D283" s="1" t="s">
        <v>9</v>
      </c>
      <c r="E283" s="1" t="s">
        <v>10</v>
      </c>
      <c r="F283" s="3" t="str">
        <f>HYPERLINK("https://drive.google.com/file/d/1mYcAYBc5QkU-QYqDOIXnG9nBVrWZL1av/view?usp=drivesdk", "23 MB")</f>
        <v>23 MB</v>
      </c>
    </row>
    <row r="284">
      <c r="A284" s="1" t="s">
        <v>539</v>
      </c>
      <c r="B284" s="1" t="s">
        <v>532</v>
      </c>
      <c r="C284" s="1" t="s">
        <v>540</v>
      </c>
      <c r="D284" s="1" t="s">
        <v>9</v>
      </c>
      <c r="E284" s="1" t="s">
        <v>10</v>
      </c>
      <c r="F284" s="3" t="str">
        <f>HYPERLINK("https://drive.google.com/file/d/1CQTcq9B39Y62ljPKouwIiUU4AUIFM8AT/view?usp=drivesdk", "37.3 MB")</f>
        <v>37.3 MB</v>
      </c>
    </row>
    <row r="285">
      <c r="A285" s="1" t="s">
        <v>541</v>
      </c>
      <c r="B285" s="1" t="s">
        <v>532</v>
      </c>
      <c r="C285" s="1" t="s">
        <v>542</v>
      </c>
      <c r="D285" s="1" t="s">
        <v>9</v>
      </c>
      <c r="E285" s="1" t="s">
        <v>10</v>
      </c>
      <c r="F285" s="3" t="str">
        <f>HYPERLINK("https://drive.google.com/file/d/17couUMtlp-CBwo7sTyE2Mnvr7kQd-uVk/view?usp=drivesdk", "29 MB")</f>
        <v>29 MB</v>
      </c>
    </row>
    <row r="286">
      <c r="A286" s="1" t="s">
        <v>543</v>
      </c>
      <c r="B286" s="1" t="s">
        <v>532</v>
      </c>
      <c r="C286" s="1" t="s">
        <v>544</v>
      </c>
      <c r="D286" s="1" t="s">
        <v>9</v>
      </c>
      <c r="E286" s="1" t="s">
        <v>10</v>
      </c>
      <c r="F286" s="3" t="str">
        <f>HYPERLINK("https://drive.google.com/file/d/1Y5YfRzjQZRmjf-9URHb-NRwxePIUJtL4/view?usp=drivesdk", "39.4 MB")</f>
        <v>39.4 MB</v>
      </c>
    </row>
    <row r="287">
      <c r="A287" s="1" t="s">
        <v>545</v>
      </c>
      <c r="B287" s="1" t="s">
        <v>532</v>
      </c>
      <c r="C287" s="1" t="s">
        <v>546</v>
      </c>
      <c r="D287" s="1" t="s">
        <v>9</v>
      </c>
      <c r="E287" s="1" t="s">
        <v>16</v>
      </c>
      <c r="F287" s="3" t="str">
        <f>HYPERLINK("https://drive.google.com/file/d/1LQsEwbSbykQvyypPyBSu3BFjdKaAtS4R/view?usp=drivesdk", "82.2 MB")</f>
        <v>82.2 MB</v>
      </c>
    </row>
    <row r="288">
      <c r="A288" s="1" t="s">
        <v>547</v>
      </c>
      <c r="B288" s="1" t="s">
        <v>532</v>
      </c>
      <c r="C288" s="1" t="s">
        <v>546</v>
      </c>
      <c r="D288" s="1" t="s">
        <v>9</v>
      </c>
      <c r="E288" s="1" t="s">
        <v>41</v>
      </c>
      <c r="F288" s="3" t="str">
        <f>HYPERLINK("https://drive.google.com/file/d/1kz6ujFPm8BU8AYrEPuK2Oy_diaKz24A7/view?usp=drivesdk", "82.2 MB")</f>
        <v>82.2 MB</v>
      </c>
    </row>
    <row r="289">
      <c r="A289" s="1" t="s">
        <v>548</v>
      </c>
      <c r="B289" s="1" t="s">
        <v>532</v>
      </c>
      <c r="C289" s="1" t="s">
        <v>549</v>
      </c>
      <c r="D289" s="1" t="s">
        <v>9</v>
      </c>
      <c r="E289" s="1" t="s">
        <v>16</v>
      </c>
      <c r="F289" s="3" t="str">
        <f>HYPERLINK("https://drive.google.com/file/d/12atMbmcrLMR5GM1rMr5K4ED90vDOp_F6/view?usp=drivesdk", "100 MB")</f>
        <v>100 MB</v>
      </c>
    </row>
    <row r="290">
      <c r="A290" s="1" t="s">
        <v>550</v>
      </c>
      <c r="B290" s="1" t="s">
        <v>532</v>
      </c>
      <c r="C290" s="1" t="s">
        <v>549</v>
      </c>
      <c r="D290" s="1" t="s">
        <v>9</v>
      </c>
      <c r="E290" s="1" t="s">
        <v>41</v>
      </c>
      <c r="F290" s="3" t="str">
        <f>HYPERLINK("https://drive.google.com/file/d/1Rqc0kj4dT_wucduQw_CEcNfq7ivY1aiH/view?usp=drivesdk", "100 MB")</f>
        <v>100 MB</v>
      </c>
    </row>
    <row r="291">
      <c r="A291" s="1" t="s">
        <v>551</v>
      </c>
      <c r="B291" s="1" t="s">
        <v>532</v>
      </c>
      <c r="C291" s="1" t="s">
        <v>552</v>
      </c>
      <c r="D291" s="1" t="s">
        <v>9</v>
      </c>
      <c r="E291" s="1" t="s">
        <v>16</v>
      </c>
      <c r="F291" s="3" t="str">
        <f>HYPERLINK("https://drive.google.com/file/d/1JeBwnDLqaJPwUTcny6RQgVWh0bR43TTJ/view?usp=drivesdk", "79 MB")</f>
        <v>79 MB</v>
      </c>
    </row>
    <row r="292">
      <c r="A292" s="1" t="s">
        <v>553</v>
      </c>
      <c r="B292" s="1" t="s">
        <v>532</v>
      </c>
      <c r="C292" s="1" t="s">
        <v>552</v>
      </c>
      <c r="D292" s="1" t="s">
        <v>9</v>
      </c>
      <c r="E292" s="1" t="s">
        <v>41</v>
      </c>
      <c r="F292" s="3" t="str">
        <f>HYPERLINK("https://drive.google.com/file/d/1A5YO_tzBQfR_aE58ht0U6KdpwUAMyV4b/view?usp=drivesdk", "79 MB")</f>
        <v>79 MB</v>
      </c>
    </row>
    <row r="293">
      <c r="A293" s="1" t="s">
        <v>554</v>
      </c>
      <c r="B293" s="1" t="s">
        <v>532</v>
      </c>
      <c r="C293" s="1" t="s">
        <v>555</v>
      </c>
      <c r="D293" s="1" t="s">
        <v>9</v>
      </c>
      <c r="E293" s="1" t="s">
        <v>41</v>
      </c>
      <c r="F293" s="3" t="str">
        <f>HYPERLINK("https://drive.google.com/file/d/1R1IQvjU6xbCIAH6dfhvYa0K7U2b-tL6m/view?usp=drivesdk", "73.4 MB")</f>
        <v>73.4 MB</v>
      </c>
    </row>
    <row r="294">
      <c r="A294" s="1" t="s">
        <v>556</v>
      </c>
      <c r="B294" s="1" t="s">
        <v>532</v>
      </c>
      <c r="C294" s="1" t="s">
        <v>555</v>
      </c>
      <c r="D294" s="1" t="s">
        <v>9</v>
      </c>
      <c r="E294" s="1" t="s">
        <v>16</v>
      </c>
      <c r="F294" s="3" t="str">
        <f>HYPERLINK("https://drive.google.com/file/d/1FnEQ2LnMF3hYyYohF8mT0TY3pwgOC6y1/view?usp=drivesdk", "73.4 MB")</f>
        <v>73.4 MB</v>
      </c>
    </row>
    <row r="295">
      <c r="A295" s="1" t="s">
        <v>557</v>
      </c>
      <c r="B295" s="1" t="s">
        <v>532</v>
      </c>
      <c r="C295" s="1" t="s">
        <v>558</v>
      </c>
      <c r="D295" s="1" t="s">
        <v>9</v>
      </c>
      <c r="E295" s="1" t="s">
        <v>41</v>
      </c>
      <c r="F295" s="3" t="str">
        <f>HYPERLINK("https://drive.google.com/file/d/1ZE8mLSlY5H0SRZxemUe3KNfZwOknmc3q/view?usp=drivesdk", "79.1 MB")</f>
        <v>79.1 MB</v>
      </c>
    </row>
    <row r="296">
      <c r="A296" s="1" t="s">
        <v>559</v>
      </c>
      <c r="B296" s="1" t="s">
        <v>532</v>
      </c>
      <c r="C296" s="1" t="s">
        <v>558</v>
      </c>
      <c r="D296" s="1" t="s">
        <v>9</v>
      </c>
      <c r="E296" s="1" t="s">
        <v>16</v>
      </c>
      <c r="F296" s="3" t="str">
        <f>HYPERLINK("https://drive.google.com/file/d/1ldZdjE7DLmAljgZ3m55latnf7jRqLGzo/view?usp=drivesdk", "79.1 MB")</f>
        <v>79.1 MB</v>
      </c>
    </row>
    <row r="297">
      <c r="A297" s="1" t="s">
        <v>560</v>
      </c>
      <c r="B297" s="1" t="s">
        <v>532</v>
      </c>
      <c r="C297" s="1" t="s">
        <v>561</v>
      </c>
      <c r="D297" s="1" t="s">
        <v>9</v>
      </c>
      <c r="E297" s="1" t="s">
        <v>10</v>
      </c>
      <c r="F297" s="3" t="str">
        <f>HYPERLINK("https://drive.google.com/file/d/1adabU0CIGmhmP0wrKoMk4zcI5GkRzLDJ/view?usp=drivesdk", "45.8 MB")</f>
        <v>45.8 MB</v>
      </c>
    </row>
    <row r="298">
      <c r="A298" s="1" t="s">
        <v>562</v>
      </c>
      <c r="B298" s="1" t="s">
        <v>532</v>
      </c>
      <c r="C298" s="1" t="s">
        <v>563</v>
      </c>
      <c r="D298" s="1" t="s">
        <v>9</v>
      </c>
      <c r="E298" s="1" t="s">
        <v>10</v>
      </c>
      <c r="F298" s="3" t="str">
        <f>HYPERLINK("https://drive.google.com/file/d/1EjV8KQxH8wLEA72EmHLUraUxaURLPJgb/view?usp=drivesdk", "67 MB")</f>
        <v>67 MB</v>
      </c>
    </row>
    <row r="299">
      <c r="A299" s="1" t="s">
        <v>564</v>
      </c>
      <c r="B299" s="1" t="s">
        <v>532</v>
      </c>
      <c r="C299" s="1" t="s">
        <v>565</v>
      </c>
      <c r="D299" s="1" t="s">
        <v>9</v>
      </c>
      <c r="E299" s="1" t="s">
        <v>10</v>
      </c>
      <c r="F299" s="3" t="str">
        <f>HYPERLINK("https://drive.google.com/file/d/1mTqWkOYmmcFZfvXvc6nKIdgOWAcH3QE6/view?usp=drivesdk", "53.7 MB")</f>
        <v>53.7 MB</v>
      </c>
    </row>
    <row r="300">
      <c r="A300" s="1" t="s">
        <v>566</v>
      </c>
      <c r="B300" s="1" t="s">
        <v>532</v>
      </c>
      <c r="C300" s="1" t="s">
        <v>567</v>
      </c>
      <c r="D300" s="1" t="s">
        <v>9</v>
      </c>
      <c r="E300" s="1" t="s">
        <v>10</v>
      </c>
      <c r="F300" s="3" t="str">
        <f>HYPERLINK("https://drive.google.com/file/d/1bUey67Yuay7kERrg0cNxN-2xBaX_h9Mx/view?usp=drivesdk", "57.9 MB")</f>
        <v>57.9 MB</v>
      </c>
    </row>
    <row r="301">
      <c r="A301" s="1" t="s">
        <v>568</v>
      </c>
      <c r="B301" s="1" t="s">
        <v>532</v>
      </c>
      <c r="C301" s="1" t="s">
        <v>569</v>
      </c>
      <c r="D301" s="1" t="s">
        <v>9</v>
      </c>
      <c r="E301" s="1" t="s">
        <v>41</v>
      </c>
      <c r="F301" s="3" t="str">
        <f>HYPERLINK("https://drive.google.com/file/d/1ABFHWzOTEXaAoIL275JHatB4okL8AVrR/view?usp=drivesdk", "42.7 MB")</f>
        <v>42.7 MB</v>
      </c>
    </row>
    <row r="302">
      <c r="A302" s="1" t="s">
        <v>570</v>
      </c>
      <c r="B302" s="1" t="s">
        <v>532</v>
      </c>
      <c r="C302" s="1" t="s">
        <v>571</v>
      </c>
      <c r="D302" s="1" t="s">
        <v>9</v>
      </c>
      <c r="E302" s="1" t="s">
        <v>41</v>
      </c>
      <c r="F302" s="3" t="str">
        <f>HYPERLINK("https://drive.google.com/file/d/1ddFgiOGV4ONV_K_ne6CWOaWpBQ4xUMPr/view?usp=drivesdk", "69.7 MB")</f>
        <v>69.7 MB</v>
      </c>
    </row>
    <row r="303">
      <c r="A303" s="1" t="s">
        <v>572</v>
      </c>
      <c r="B303" s="1" t="s">
        <v>532</v>
      </c>
      <c r="C303" s="1" t="s">
        <v>573</v>
      </c>
      <c r="D303" s="1" t="s">
        <v>9</v>
      </c>
      <c r="E303" s="1" t="s">
        <v>41</v>
      </c>
      <c r="F303" s="3" t="str">
        <f>HYPERLINK("https://drive.google.com/file/d/1ErBfz-D8bZJSeBAjrkmrzF8d8pToZSfC/view?usp=drivesdk", "64.5 MB")</f>
        <v>64.5 MB</v>
      </c>
    </row>
    <row r="304">
      <c r="A304" s="1" t="s">
        <v>574</v>
      </c>
      <c r="B304" s="1" t="s">
        <v>532</v>
      </c>
      <c r="C304" s="1" t="s">
        <v>575</v>
      </c>
      <c r="D304" s="1" t="s">
        <v>9</v>
      </c>
      <c r="E304" s="1" t="s">
        <v>10</v>
      </c>
      <c r="F304" s="3" t="str">
        <f>HYPERLINK("https://drive.google.com/file/d/18f1Dc-X0k_-dmqLYliW2l_D6hJvIuFUS/view?usp=drivesdk", "49.5 MB")</f>
        <v>49.5 MB</v>
      </c>
    </row>
    <row r="305">
      <c r="A305" s="1" t="s">
        <v>576</v>
      </c>
      <c r="B305" s="1" t="s">
        <v>532</v>
      </c>
      <c r="C305" s="1" t="s">
        <v>577</v>
      </c>
      <c r="D305" s="1" t="s">
        <v>9</v>
      </c>
      <c r="E305" s="1" t="s">
        <v>10</v>
      </c>
      <c r="F305" s="3" t="str">
        <f>HYPERLINK("https://drive.google.com/file/d/1wc_PImERWNGXaHYdm6JqE8DRgtUrcWei/view?usp=drivesdk", "49.9 MB")</f>
        <v>49.9 MB</v>
      </c>
    </row>
    <row r="306">
      <c r="A306" s="1" t="s">
        <v>578</v>
      </c>
      <c r="B306" s="1" t="s">
        <v>532</v>
      </c>
      <c r="C306" s="1" t="s">
        <v>579</v>
      </c>
      <c r="D306" s="1" t="s">
        <v>9</v>
      </c>
      <c r="E306" s="1" t="s">
        <v>10</v>
      </c>
      <c r="F306" s="3" t="str">
        <f>HYPERLINK("https://drive.google.com/file/d/1nehf2HAnaM_R6fFmkGRx-qr4WOSFSZR3/view?usp=drivesdk", "89.2 MB")</f>
        <v>89.2 MB</v>
      </c>
    </row>
    <row r="307">
      <c r="A307" s="1" t="s">
        <v>580</v>
      </c>
      <c r="B307" s="1" t="s">
        <v>532</v>
      </c>
      <c r="C307" s="1" t="s">
        <v>581</v>
      </c>
      <c r="D307" s="1" t="s">
        <v>9</v>
      </c>
      <c r="E307" s="1" t="s">
        <v>10</v>
      </c>
      <c r="F307" s="3" t="str">
        <f>HYPERLINK("https://drive.google.com/file/d/19v_zYRIwFzqzLATB9Bgr7NLHfnOep_9-/view?usp=drivesdk", "93.2 MB")</f>
        <v>93.2 MB</v>
      </c>
    </row>
    <row r="308">
      <c r="A308" s="1" t="s">
        <v>582</v>
      </c>
      <c r="B308" s="1" t="s">
        <v>532</v>
      </c>
      <c r="C308" s="1" t="s">
        <v>583</v>
      </c>
      <c r="D308" s="1" t="s">
        <v>9</v>
      </c>
      <c r="E308" s="1" t="s">
        <v>16</v>
      </c>
      <c r="F308" s="3" t="str">
        <f>HYPERLINK("https://drive.google.com/file/d/1TMN9LP2ZUkNIBHVqiVroloxgKPsAqf1e/view?usp=drivesdk", "58.5 MB")</f>
        <v>58.5 MB</v>
      </c>
    </row>
    <row r="309">
      <c r="A309" s="1" t="s">
        <v>584</v>
      </c>
      <c r="B309" s="1" t="s">
        <v>532</v>
      </c>
      <c r="C309" s="1" t="s">
        <v>585</v>
      </c>
      <c r="D309" s="1" t="s">
        <v>9</v>
      </c>
      <c r="E309" s="1" t="s">
        <v>16</v>
      </c>
      <c r="F309" s="3" t="str">
        <f>HYPERLINK("https://drive.google.com/file/d/1bi6tN0CZwiun2RIqe5Sq4tG8AyQhrHh1/view?usp=drivesdk", "66.2 MB")</f>
        <v>66.2 MB</v>
      </c>
    </row>
    <row r="310">
      <c r="A310" s="1" t="s">
        <v>586</v>
      </c>
      <c r="B310" s="1" t="s">
        <v>532</v>
      </c>
      <c r="C310" s="1" t="s">
        <v>587</v>
      </c>
      <c r="D310" s="1" t="s">
        <v>9</v>
      </c>
      <c r="E310" s="1" t="s">
        <v>16</v>
      </c>
      <c r="F310" s="3" t="str">
        <f>HYPERLINK("https://drive.google.com/file/d/1VBrHrdLdqS8szmPK0v1RuJ0CkBu-kJOI/view?usp=drivesdk", "74.2 MB")</f>
        <v>74.2 MB</v>
      </c>
    </row>
    <row r="311">
      <c r="A311" s="1" t="s">
        <v>588</v>
      </c>
      <c r="B311" s="1" t="s">
        <v>532</v>
      </c>
      <c r="C311" s="1" t="s">
        <v>589</v>
      </c>
      <c r="D311" s="1" t="s">
        <v>9</v>
      </c>
      <c r="E311" s="1" t="s">
        <v>16</v>
      </c>
      <c r="F311" s="3" t="str">
        <f>HYPERLINK("https://drive.google.com/file/d/13PNsZbb21t-e9PfMcntTUp1D_GUVgjLN/view?usp=drivesdk", "82.1 MB")</f>
        <v>82.1 MB</v>
      </c>
    </row>
    <row r="312">
      <c r="A312" s="1" t="s">
        <v>590</v>
      </c>
      <c r="B312" s="1" t="s">
        <v>532</v>
      </c>
      <c r="C312" s="1" t="s">
        <v>591</v>
      </c>
      <c r="D312" s="1" t="s">
        <v>9</v>
      </c>
      <c r="E312" s="1" t="s">
        <v>16</v>
      </c>
      <c r="F312" s="3" t="str">
        <f>HYPERLINK("https://drive.google.com/file/d/1K-TiqHJ-5ErMWchZMAmYe0UY28KI7Xdg/view?usp=drivesdk", "64.7 MB")</f>
        <v>64.7 MB</v>
      </c>
    </row>
    <row r="313">
      <c r="A313" s="1" t="s">
        <v>592</v>
      </c>
      <c r="B313" s="1" t="s">
        <v>532</v>
      </c>
      <c r="C313" s="1" t="s">
        <v>593</v>
      </c>
      <c r="D313" s="1" t="s">
        <v>9</v>
      </c>
      <c r="E313" s="1" t="s">
        <v>16</v>
      </c>
      <c r="F313" s="3" t="str">
        <f>HYPERLINK("https://drive.google.com/file/d/1Vy790Wt8tKMU4nFFfVms98twmDDQkICJ/view?usp=drivesdk", "8.2 MB")</f>
        <v>8.2 MB</v>
      </c>
    </row>
    <row r="314">
      <c r="A314" s="1" t="s">
        <v>594</v>
      </c>
      <c r="B314" s="1" t="s">
        <v>532</v>
      </c>
      <c r="C314" s="1" t="s">
        <v>595</v>
      </c>
      <c r="D314" s="1" t="s">
        <v>9</v>
      </c>
      <c r="E314" s="1" t="s">
        <v>41</v>
      </c>
      <c r="F314" s="3" t="str">
        <f>HYPERLINK("https://drive.google.com/file/d/1z-oerzriJg59ngu0fELNV6-E0kmvqY2k/view?usp=drivesdk", "75.8 MB")</f>
        <v>75.8 MB</v>
      </c>
    </row>
    <row r="315">
      <c r="A315" s="1" t="s">
        <v>596</v>
      </c>
      <c r="B315" s="1" t="s">
        <v>532</v>
      </c>
      <c r="C315" s="1" t="s">
        <v>597</v>
      </c>
      <c r="D315" s="1" t="s">
        <v>9</v>
      </c>
      <c r="E315" s="1" t="s">
        <v>10</v>
      </c>
      <c r="F315" s="3" t="str">
        <f>HYPERLINK("https://drive.google.com/file/d/1Xt0MoKlgMKDSNZ3V0NG7aQDekUpLWj2s/view?usp=drivesdk", "69.5 MB")</f>
        <v>69.5 MB</v>
      </c>
    </row>
    <row r="316">
      <c r="A316" s="1" t="s">
        <v>598</v>
      </c>
      <c r="B316" s="1" t="s">
        <v>532</v>
      </c>
      <c r="C316" s="1" t="s">
        <v>599</v>
      </c>
      <c r="D316" s="1" t="s">
        <v>9</v>
      </c>
      <c r="E316" s="1" t="s">
        <v>10</v>
      </c>
      <c r="F316" s="3" t="str">
        <f>HYPERLINK("https://drive.google.com/file/d/1sg1_68bbWiO1H2JVWD7HbkGKF8wlKzmb/view?usp=drivesdk", "63.8 MB")</f>
        <v>63.8 MB</v>
      </c>
    </row>
    <row r="317">
      <c r="A317" s="1" t="s">
        <v>600</v>
      </c>
      <c r="B317" s="1" t="s">
        <v>532</v>
      </c>
      <c r="C317" s="1" t="s">
        <v>601</v>
      </c>
      <c r="D317" s="1" t="s">
        <v>9</v>
      </c>
      <c r="E317" s="1" t="s">
        <v>93</v>
      </c>
      <c r="F317" s="3" t="str">
        <f>HYPERLINK("https://drive.google.com/file/d/14ZgQti35JDoCE6tArIP9rs08txAkfZ5E/view?usp=drivesdk", "62.9 MB")</f>
        <v>62.9 MB</v>
      </c>
    </row>
    <row r="318">
      <c r="A318" s="1" t="s">
        <v>602</v>
      </c>
      <c r="B318" s="1" t="s">
        <v>532</v>
      </c>
      <c r="C318" s="1" t="s">
        <v>603</v>
      </c>
      <c r="D318" s="1" t="s">
        <v>9</v>
      </c>
      <c r="E318" s="1" t="s">
        <v>93</v>
      </c>
      <c r="F318" s="3" t="str">
        <f>HYPERLINK("https://drive.google.com/file/d/1I71zI8SANyp4lnuZ0gfu63VbC2WBAwyR/view?usp=drivesdk", "85.1 MB")</f>
        <v>85.1 MB</v>
      </c>
    </row>
    <row r="319">
      <c r="A319" s="1" t="s">
        <v>604</v>
      </c>
      <c r="B319" s="1" t="s">
        <v>532</v>
      </c>
      <c r="C319" s="1" t="s">
        <v>605</v>
      </c>
      <c r="D319" s="1" t="s">
        <v>9</v>
      </c>
      <c r="E319" s="1" t="s">
        <v>10</v>
      </c>
      <c r="F319" s="3" t="str">
        <f t="shared" ref="F319:F321" si="6">HYPERLINK("https://drive.google.com/file/d/1nM_JjGaun-L5K9ZQBGGhIvRzuiR6x1cL/view?usp=drivesdk", "20.7 MB")</f>
        <v>20.7 MB</v>
      </c>
    </row>
    <row r="320">
      <c r="A320" s="1" t="s">
        <v>604</v>
      </c>
      <c r="B320" s="1" t="s">
        <v>532</v>
      </c>
      <c r="C320" s="1" t="s">
        <v>605</v>
      </c>
      <c r="D320" s="1" t="s">
        <v>9</v>
      </c>
      <c r="E320" s="1" t="s">
        <v>16</v>
      </c>
      <c r="F320" s="3" t="str">
        <f t="shared" si="6"/>
        <v>20.7 MB</v>
      </c>
    </row>
    <row r="321">
      <c r="A321" s="1" t="s">
        <v>604</v>
      </c>
      <c r="B321" s="1" t="s">
        <v>532</v>
      </c>
      <c r="C321" s="1" t="s">
        <v>605</v>
      </c>
      <c r="D321" s="1" t="s">
        <v>9</v>
      </c>
      <c r="E321" s="1" t="s">
        <v>41</v>
      </c>
      <c r="F321" s="3" t="str">
        <f t="shared" si="6"/>
        <v>20.7 MB</v>
      </c>
    </row>
    <row r="322">
      <c r="A322" s="1" t="s">
        <v>606</v>
      </c>
      <c r="B322" s="1" t="s">
        <v>532</v>
      </c>
      <c r="C322" s="1" t="s">
        <v>607</v>
      </c>
      <c r="D322" s="1" t="s">
        <v>9</v>
      </c>
      <c r="E322" s="1" t="s">
        <v>16</v>
      </c>
      <c r="F322" s="3" t="str">
        <f>HYPERLINK("https://drive.google.com/file/d/121K0qZJLWTRrhHJQva2ya75QvKdKkjLi/view?usp=drivesdk", "51 MB")</f>
        <v>51 MB</v>
      </c>
    </row>
    <row r="323">
      <c r="A323" s="1" t="s">
        <v>608</v>
      </c>
      <c r="B323" s="1" t="s">
        <v>532</v>
      </c>
      <c r="C323" s="1" t="s">
        <v>609</v>
      </c>
      <c r="D323" s="1" t="s">
        <v>9</v>
      </c>
      <c r="E323" s="1" t="s">
        <v>41</v>
      </c>
      <c r="F323" s="3" t="str">
        <f>HYPERLINK("https://drive.google.com/file/d/1NQbwH5hgVD5upqzqrKYPrztJoexZq32q/view?usp=drivesdk", "62.7 MB")</f>
        <v>62.7 MB</v>
      </c>
    </row>
    <row r="324">
      <c r="A324" s="1" t="s">
        <v>610</v>
      </c>
      <c r="B324" s="1" t="s">
        <v>532</v>
      </c>
      <c r="C324" s="1" t="s">
        <v>611</v>
      </c>
      <c r="D324" s="1" t="s">
        <v>9</v>
      </c>
      <c r="E324" s="1" t="s">
        <v>10</v>
      </c>
      <c r="F324" s="3" t="str">
        <f>HYPERLINK("https://drive.google.com/file/d/1h3oueKdcmeTRBatOFbQ5fGa33j6q6-ld/view?usp=drivesdk", "58.6 MB")</f>
        <v>58.6 MB</v>
      </c>
    </row>
    <row r="325">
      <c r="A325" s="1" t="s">
        <v>612</v>
      </c>
      <c r="B325" s="1" t="s">
        <v>532</v>
      </c>
      <c r="C325" s="1" t="s">
        <v>613</v>
      </c>
      <c r="D325" s="1" t="s">
        <v>9</v>
      </c>
      <c r="E325" s="1" t="s">
        <v>16</v>
      </c>
      <c r="F325" s="3" t="str">
        <f>HYPERLINK("https://drive.google.com/file/d/1zjhadQU0zgw576vQR1P8yYIdygFRUcI0/view?usp=drivesdk", "67.2 MB")</f>
        <v>67.2 MB</v>
      </c>
    </row>
    <row r="326">
      <c r="A326" s="1" t="s">
        <v>614</v>
      </c>
      <c r="B326" s="1" t="s">
        <v>532</v>
      </c>
      <c r="C326" s="1" t="s">
        <v>615</v>
      </c>
      <c r="D326" s="1" t="s">
        <v>9</v>
      </c>
      <c r="E326" s="1" t="s">
        <v>41</v>
      </c>
      <c r="F326" s="3" t="str">
        <f>HYPERLINK("https://drive.google.com/file/d/1v2crOXQ4sO6Qx2Z5M7j8563LZS8-ZhJs/view?usp=drivesdk", "47.8 MB")</f>
        <v>47.8 MB</v>
      </c>
    </row>
    <row r="327">
      <c r="A327" s="1" t="s">
        <v>616</v>
      </c>
      <c r="B327" s="1" t="s">
        <v>532</v>
      </c>
      <c r="C327" s="1" t="s">
        <v>617</v>
      </c>
      <c r="D327" s="1" t="s">
        <v>9</v>
      </c>
      <c r="E327" s="1" t="s">
        <v>10</v>
      </c>
      <c r="F327" s="3" t="str">
        <f>HYPERLINK("https://drive.google.com/file/d/16YagAPiuYuDlU5YHGYKJWjO_BJ2SzGSK/view?usp=drivesdk", "53.1 MB")</f>
        <v>53.1 MB</v>
      </c>
    </row>
    <row r="328">
      <c r="A328" s="1" t="s">
        <v>618</v>
      </c>
      <c r="B328" s="1" t="s">
        <v>532</v>
      </c>
      <c r="C328" s="1" t="s">
        <v>619</v>
      </c>
      <c r="D328" s="1" t="s">
        <v>9</v>
      </c>
      <c r="E328" s="1" t="s">
        <v>10</v>
      </c>
      <c r="F328" s="3" t="str">
        <f>HYPERLINK("https://drive.google.com/file/d/1Ti8Vy_2TdECLDulAKpMvIEyRW6dDfJ70/view?usp=drivesdk", "77.8 MB")</f>
        <v>77.8 MB</v>
      </c>
    </row>
    <row r="329">
      <c r="A329" s="1" t="s">
        <v>620</v>
      </c>
      <c r="B329" s="1" t="s">
        <v>532</v>
      </c>
      <c r="C329" s="1" t="s">
        <v>621</v>
      </c>
      <c r="D329" s="1" t="s">
        <v>9</v>
      </c>
      <c r="E329" s="1" t="s">
        <v>10</v>
      </c>
      <c r="F329" s="3" t="str">
        <f>HYPERLINK("https://drive.google.com/file/d/1mtE4lDZTVQEZ9BWDO2BXQBZmX2OQPP8A/view?usp=drivesdk", "46 MB")</f>
        <v>46 MB</v>
      </c>
    </row>
    <row r="330">
      <c r="A330" s="1" t="s">
        <v>622</v>
      </c>
      <c r="B330" s="1" t="s">
        <v>532</v>
      </c>
      <c r="C330" s="1" t="s">
        <v>623</v>
      </c>
      <c r="D330" s="1" t="s">
        <v>9</v>
      </c>
      <c r="E330" s="1" t="s">
        <v>41</v>
      </c>
      <c r="F330" s="3" t="str">
        <f>HYPERLINK("https://drive.google.com/file/d/1dSWHAr3LCdmcl6r7cx_HuITPZQBYOpxU/view?usp=drivesdk", "68.4 MB")</f>
        <v>68.4 MB</v>
      </c>
    </row>
    <row r="331">
      <c r="A331" s="1" t="s">
        <v>624</v>
      </c>
      <c r="B331" s="1" t="s">
        <v>532</v>
      </c>
      <c r="C331" s="1" t="s">
        <v>625</v>
      </c>
      <c r="D331" s="1" t="s">
        <v>9</v>
      </c>
      <c r="E331" s="1" t="s">
        <v>41</v>
      </c>
      <c r="F331" s="3" t="str">
        <f>HYPERLINK("https://drive.google.com/file/d/1hPNUB9T4N6bJG6ys1KDrVdDJSm4fuPhU/view?usp=drivesdk", "61 MB")</f>
        <v>61 MB</v>
      </c>
    </row>
    <row r="332">
      <c r="A332" s="1" t="s">
        <v>626</v>
      </c>
      <c r="B332" s="1" t="s">
        <v>532</v>
      </c>
      <c r="C332" s="1" t="s">
        <v>627</v>
      </c>
      <c r="D332" s="1" t="s">
        <v>9</v>
      </c>
      <c r="E332" s="1" t="s">
        <v>10</v>
      </c>
      <c r="F332" s="3" t="str">
        <f>HYPERLINK("https://drive.google.com/file/d/12DsUhOZKtvmkdK4ogKxQyv59D0we64wZ/view?usp=drivesdk", "92.1 MB")</f>
        <v>92.1 MB</v>
      </c>
    </row>
    <row r="333">
      <c r="A333" s="1" t="s">
        <v>628</v>
      </c>
      <c r="B333" s="1" t="s">
        <v>532</v>
      </c>
      <c r="C333" s="1" t="s">
        <v>629</v>
      </c>
      <c r="D333" s="1" t="s">
        <v>9</v>
      </c>
      <c r="E333" s="1" t="s">
        <v>16</v>
      </c>
      <c r="F333" s="3" t="str">
        <f>HYPERLINK("https://drive.google.com/file/d/1PHlHwujmyj4fhYosIS0llqCaVP4kGvcx/view?usp=drivesdk", "33.6 MB")</f>
        <v>33.6 MB</v>
      </c>
    </row>
    <row r="334">
      <c r="A334" s="1" t="s">
        <v>630</v>
      </c>
      <c r="B334" s="1" t="s">
        <v>532</v>
      </c>
      <c r="C334" s="1" t="s">
        <v>631</v>
      </c>
      <c r="D334" s="1" t="s">
        <v>9</v>
      </c>
      <c r="E334" s="1" t="s">
        <v>16</v>
      </c>
      <c r="F334" s="3" t="str">
        <f>HYPERLINK("https://drive.google.com/file/d/15I-3iZQsXl8XP1KmNtJK0mbFMqzKqs3o/view?usp=drivesdk", "68.3 MB")</f>
        <v>68.3 MB</v>
      </c>
    </row>
    <row r="335">
      <c r="A335" s="1" t="s">
        <v>632</v>
      </c>
      <c r="B335" s="1" t="s">
        <v>532</v>
      </c>
      <c r="C335" s="1" t="s">
        <v>633</v>
      </c>
      <c r="D335" s="1" t="s">
        <v>9</v>
      </c>
      <c r="E335" s="1" t="s">
        <v>41</v>
      </c>
      <c r="F335" s="3" t="str">
        <f>HYPERLINK("https://drive.google.com/file/d/1fwAxPjFf1wu0nyQxeovyzD2Y64agLhdb/view?usp=drivesdk", "88.3 MB")</f>
        <v>88.3 MB</v>
      </c>
    </row>
    <row r="336">
      <c r="A336" s="1" t="s">
        <v>634</v>
      </c>
      <c r="B336" s="1" t="s">
        <v>532</v>
      </c>
      <c r="C336" s="1" t="s">
        <v>635</v>
      </c>
      <c r="D336" s="1" t="s">
        <v>9</v>
      </c>
      <c r="E336" s="1" t="s">
        <v>10</v>
      </c>
      <c r="F336" s="3" t="str">
        <f>HYPERLINK("https://drive.google.com/file/d/1JC-qX3PJOuSSFynvsFTOY7mpV7lenG0M/view?usp=drivesdk", "68.7 MB")</f>
        <v>68.7 MB</v>
      </c>
    </row>
    <row r="337">
      <c r="A337" s="1" t="s">
        <v>636</v>
      </c>
      <c r="B337" s="1" t="s">
        <v>532</v>
      </c>
      <c r="C337" s="1" t="s">
        <v>637</v>
      </c>
      <c r="D337" s="1" t="s">
        <v>9</v>
      </c>
      <c r="E337" s="1" t="s">
        <v>41</v>
      </c>
      <c r="F337" s="3" t="str">
        <f>HYPERLINK("https://drive.google.com/file/d/1AIwxZww_h0UCMxJOh2wd83pjG2ozazEF/view?usp=drivesdk", "80.9 MB")</f>
        <v>80.9 MB</v>
      </c>
    </row>
    <row r="338">
      <c r="A338" s="1" t="s">
        <v>638</v>
      </c>
      <c r="B338" s="1" t="s">
        <v>532</v>
      </c>
      <c r="C338" s="1" t="s">
        <v>639</v>
      </c>
      <c r="D338" s="1" t="s">
        <v>9</v>
      </c>
      <c r="E338" s="1" t="s">
        <v>16</v>
      </c>
      <c r="F338" s="3" t="str">
        <f>HYPERLINK("https://drive.google.com/file/d/17tw8IuULPDL6hsCoVVSbJIzElL7XZdpJ/view?usp=drivesdk", "48.8 MB")</f>
        <v>48.8 MB</v>
      </c>
    </row>
    <row r="339">
      <c r="A339" s="1" t="s">
        <v>640</v>
      </c>
      <c r="B339" s="1" t="s">
        <v>532</v>
      </c>
      <c r="C339" s="1" t="s">
        <v>641</v>
      </c>
      <c r="D339" s="1" t="s">
        <v>9</v>
      </c>
      <c r="E339" s="1" t="s">
        <v>16</v>
      </c>
      <c r="F339" s="3" t="str">
        <f>HYPERLINK("https://drive.google.com/file/d/1zdjsHcCJ0G09y2pH7Hjs3bZa_Kuq6ZXK/view?usp=drivesdk", "76.5 MB")</f>
        <v>76.5 MB</v>
      </c>
    </row>
    <row r="340">
      <c r="A340" s="1" t="s">
        <v>642</v>
      </c>
      <c r="B340" s="1" t="s">
        <v>532</v>
      </c>
      <c r="C340" s="1" t="s">
        <v>643</v>
      </c>
      <c r="D340" s="1" t="s">
        <v>9</v>
      </c>
      <c r="E340" s="1" t="s">
        <v>10</v>
      </c>
      <c r="F340" s="3" t="str">
        <f>HYPERLINK("https://drive.google.com/file/d/1yaN8WRgilZeK9wiGtGxKt896AQtyCUtf/view?usp=drivesdk", "48.2 MB")</f>
        <v>48.2 MB</v>
      </c>
    </row>
    <row r="341">
      <c r="A341" s="1" t="s">
        <v>644</v>
      </c>
      <c r="B341" s="1" t="s">
        <v>532</v>
      </c>
      <c r="C341" s="1" t="s">
        <v>645</v>
      </c>
      <c r="D341" s="1" t="s">
        <v>9</v>
      </c>
      <c r="E341" s="1" t="s">
        <v>16</v>
      </c>
      <c r="F341" s="3" t="str">
        <f>HYPERLINK("https://drive.google.com/file/d/1fPOzmN6qGw9uA9wfzwDqKeWqu8bJaZX2/view?usp=drivesdk", "107 MB")</f>
        <v>107 MB</v>
      </c>
    </row>
    <row r="342">
      <c r="A342" s="1" t="s">
        <v>646</v>
      </c>
      <c r="B342" s="1" t="s">
        <v>532</v>
      </c>
      <c r="C342" s="1" t="s">
        <v>647</v>
      </c>
      <c r="D342" s="1" t="s">
        <v>9</v>
      </c>
      <c r="E342" s="1" t="s">
        <v>16</v>
      </c>
      <c r="F342" s="3" t="str">
        <f>HYPERLINK("https://drive.google.com/file/d/1YFQlxaGH7_xOft-teJSxJ14UdoBQ-tzK/view?usp=drivesdk", "45.9 MB")</f>
        <v>45.9 MB</v>
      </c>
    </row>
    <row r="343">
      <c r="A343" s="1" t="s">
        <v>648</v>
      </c>
      <c r="B343" s="1" t="s">
        <v>532</v>
      </c>
      <c r="C343" s="1" t="s">
        <v>649</v>
      </c>
      <c r="D343" s="1" t="s">
        <v>9</v>
      </c>
      <c r="E343" s="1" t="s">
        <v>10</v>
      </c>
      <c r="F343" s="3" t="str">
        <f>HYPERLINK("https://drive.google.com/file/d/19kSbS_l8bDIO_q16TqW20NzwYF4vBmqj/view?usp=drivesdk", "86.4 MB")</f>
        <v>86.4 MB</v>
      </c>
    </row>
    <row r="344">
      <c r="A344" s="1" t="s">
        <v>650</v>
      </c>
      <c r="B344" s="1" t="s">
        <v>532</v>
      </c>
      <c r="C344" s="1" t="s">
        <v>651</v>
      </c>
      <c r="D344" s="1" t="s">
        <v>9</v>
      </c>
      <c r="E344" s="1" t="s">
        <v>10</v>
      </c>
      <c r="F344" s="3" t="str">
        <f>HYPERLINK("https://drive.google.com/file/d/1lpvRv1oTO1KDk7kH5brK020e5r1AID6R/view?usp=drivesdk", "93.9 MB")</f>
        <v>93.9 MB</v>
      </c>
    </row>
    <row r="345">
      <c r="A345" s="1" t="s">
        <v>652</v>
      </c>
      <c r="B345" s="1" t="s">
        <v>532</v>
      </c>
      <c r="C345" s="1" t="s">
        <v>653</v>
      </c>
      <c r="D345" s="1" t="s">
        <v>9</v>
      </c>
      <c r="E345" s="1" t="s">
        <v>10</v>
      </c>
      <c r="F345" s="3" t="str">
        <f>HYPERLINK("https://drive.google.com/file/d/1k432gNRN4xr0ecSygXaDCt7LoNHpx0tW/view?usp=drivesdk", "78 MB")</f>
        <v>78 MB</v>
      </c>
    </row>
    <row r="346">
      <c r="A346" s="1" t="s">
        <v>654</v>
      </c>
      <c r="B346" s="1" t="s">
        <v>532</v>
      </c>
      <c r="C346" s="1" t="s">
        <v>655</v>
      </c>
      <c r="D346" s="1" t="s">
        <v>9</v>
      </c>
      <c r="E346" s="1" t="s">
        <v>41</v>
      </c>
      <c r="F346" s="3" t="str">
        <f>HYPERLINK("https://drive.google.com/file/d/1H-TE3TWedywkyYZO-hZEhPRaNRqVDKTB/view?usp=drivesdk", "81.3 MB")</f>
        <v>81.3 MB</v>
      </c>
    </row>
    <row r="347">
      <c r="A347" s="1" t="s">
        <v>656</v>
      </c>
      <c r="B347" s="1" t="s">
        <v>532</v>
      </c>
      <c r="C347" s="1" t="s">
        <v>657</v>
      </c>
      <c r="D347" s="1" t="s">
        <v>9</v>
      </c>
      <c r="E347" s="1" t="s">
        <v>93</v>
      </c>
      <c r="F347" s="3" t="str">
        <f>HYPERLINK("https://drive.google.com/file/d/1Pu-bSx0HvBYoxVBeS6vTRtlilbrCtTe_/view?usp=drivesdk", "88.1 MB")</f>
        <v>88.1 MB</v>
      </c>
    </row>
    <row r="348">
      <c r="A348" s="1" t="s">
        <v>658</v>
      </c>
      <c r="B348" s="1" t="s">
        <v>532</v>
      </c>
      <c r="C348" s="1" t="s">
        <v>659</v>
      </c>
      <c r="D348" s="1" t="s">
        <v>9</v>
      </c>
      <c r="E348" s="1" t="s">
        <v>93</v>
      </c>
      <c r="F348" s="3" t="str">
        <f>HYPERLINK("https://drive.google.com/file/d/1QMzd2oVP2spquObwTUnTbGDcAF7doxRq/view?usp=drivesdk", "100 MB")</f>
        <v>100 MB</v>
      </c>
    </row>
    <row r="349">
      <c r="A349" s="1" t="s">
        <v>660</v>
      </c>
      <c r="B349" s="1" t="s">
        <v>532</v>
      </c>
      <c r="C349" s="1" t="s">
        <v>661</v>
      </c>
      <c r="D349" s="1" t="s">
        <v>9</v>
      </c>
      <c r="E349" s="1" t="s">
        <v>93</v>
      </c>
      <c r="F349" s="3" t="str">
        <f>HYPERLINK("https://drive.google.com/file/d/1BB3Q3XCllZhMmCmTgFU94BTou04ymEiw/view?usp=drivesdk", "60.8 MB")</f>
        <v>60.8 MB</v>
      </c>
    </row>
    <row r="350">
      <c r="A350" s="1" t="s">
        <v>662</v>
      </c>
      <c r="B350" s="1" t="s">
        <v>532</v>
      </c>
      <c r="C350" s="1" t="s">
        <v>663</v>
      </c>
      <c r="D350" s="1" t="s">
        <v>9</v>
      </c>
      <c r="E350" s="1" t="s">
        <v>93</v>
      </c>
      <c r="F350" s="3" t="str">
        <f>HYPERLINK("https://drive.google.com/file/d/1QJ-8t4igKKLDY55A8ekFC7Co8R5bDf2v/view?usp=drivesdk", "79 MB")</f>
        <v>79 MB</v>
      </c>
    </row>
    <row r="351">
      <c r="A351" s="1" t="s">
        <v>664</v>
      </c>
      <c r="B351" s="1" t="s">
        <v>532</v>
      </c>
      <c r="C351" s="1" t="s">
        <v>665</v>
      </c>
      <c r="D351" s="1" t="s">
        <v>9</v>
      </c>
      <c r="E351" s="1" t="s">
        <v>16</v>
      </c>
      <c r="F351" s="3" t="str">
        <f>HYPERLINK("https://drive.google.com/file/d/177dO5E6Ulzv7tCHP0tWMeqjzlgS6pwU_/view?usp=drivesdk", "74.8 MB")</f>
        <v>74.8 MB</v>
      </c>
    </row>
    <row r="352">
      <c r="A352" s="1" t="s">
        <v>666</v>
      </c>
      <c r="B352" s="1" t="s">
        <v>532</v>
      </c>
      <c r="C352" s="1" t="s">
        <v>667</v>
      </c>
      <c r="D352" s="1" t="s">
        <v>9</v>
      </c>
      <c r="E352" s="1" t="s">
        <v>16</v>
      </c>
      <c r="F352" s="3" t="str">
        <f>HYPERLINK("https://drive.google.com/file/d/144Id7foOIcE6rE0dswK6aASwtK9yrT_E/view?usp=drivesdk", "52.6 MB")</f>
        <v>52.6 MB</v>
      </c>
    </row>
    <row r="353">
      <c r="A353" s="1" t="s">
        <v>668</v>
      </c>
      <c r="B353" s="1" t="s">
        <v>532</v>
      </c>
      <c r="C353" s="1" t="s">
        <v>669</v>
      </c>
      <c r="D353" s="1" t="s">
        <v>9</v>
      </c>
      <c r="E353" s="1" t="s">
        <v>41</v>
      </c>
      <c r="F353" s="3" t="str">
        <f>HYPERLINK("https://drive.google.com/file/d/1GGPRgI20u2RpbfjmpbhHGu4AnCF048DE/view?usp=drivesdk", "123 MB")</f>
        <v>123 MB</v>
      </c>
    </row>
    <row r="354">
      <c r="A354" s="1" t="s">
        <v>670</v>
      </c>
      <c r="B354" s="1" t="s">
        <v>532</v>
      </c>
      <c r="C354" s="1" t="s">
        <v>671</v>
      </c>
      <c r="D354" s="1" t="s">
        <v>9</v>
      </c>
      <c r="E354" s="1" t="s">
        <v>41</v>
      </c>
      <c r="F354" s="3" t="str">
        <f>HYPERLINK("https://drive.google.com/file/d/1X6yi0V9HlSMNdtIPmMMjstY9u0-jgCkc/view?usp=drivesdk", "62.5 MB")</f>
        <v>62.5 MB</v>
      </c>
    </row>
    <row r="355">
      <c r="A355" s="1" t="s">
        <v>672</v>
      </c>
      <c r="B355" s="1" t="s">
        <v>532</v>
      </c>
      <c r="C355" s="1" t="s">
        <v>673</v>
      </c>
      <c r="D355" s="1" t="s">
        <v>9</v>
      </c>
      <c r="E355" s="1" t="s">
        <v>10</v>
      </c>
      <c r="F355" s="3" t="str">
        <f>HYPERLINK("https://drive.google.com/file/d/1qDq2aiedIh9ejyUK4KZuDEK7f-aBeaU-/view?usp=drivesdk", "78.4 MB")</f>
        <v>78.4 MB</v>
      </c>
    </row>
    <row r="356">
      <c r="A356" s="1" t="s">
        <v>674</v>
      </c>
      <c r="B356" s="1" t="s">
        <v>532</v>
      </c>
      <c r="C356" s="1" t="s">
        <v>675</v>
      </c>
      <c r="D356" s="1" t="s">
        <v>9</v>
      </c>
      <c r="E356" s="1" t="s">
        <v>10</v>
      </c>
      <c r="F356" s="3" t="str">
        <f>HYPERLINK("https://drive.google.com/file/d/1wzJVz8kcktcrT4P8mM9786jMXHARZ1re/view?usp=drivesdk", "52.9 MB")</f>
        <v>52.9 MB</v>
      </c>
    </row>
    <row r="357">
      <c r="A357" s="1" t="s">
        <v>347</v>
      </c>
      <c r="B357" s="1" t="s">
        <v>676</v>
      </c>
      <c r="C357" s="1" t="s">
        <v>424</v>
      </c>
      <c r="D357" s="1" t="s">
        <v>9</v>
      </c>
      <c r="E357" s="1" t="s">
        <v>10</v>
      </c>
      <c r="F357" s="3" t="str">
        <f>HYPERLINK("https://drive.google.com/file/d/1gchW9BZVlNt4tXPLsifDCwBR0SaLYVOg/view?usp=sharing", "63.8 MB")</f>
        <v>63.8 MB</v>
      </c>
    </row>
    <row r="358">
      <c r="A358" s="1" t="s">
        <v>347</v>
      </c>
      <c r="B358" s="1" t="s">
        <v>676</v>
      </c>
      <c r="C358" s="1" t="s">
        <v>424</v>
      </c>
      <c r="D358" s="1" t="s">
        <v>9</v>
      </c>
      <c r="E358" s="1" t="s">
        <v>16</v>
      </c>
      <c r="F358" s="3" t="str">
        <f>HYPERLINK("https://drive.google.com/file/d/1upgh8VFpja4OiRJFOV3LcucDzUlslMqG/view?usp=sharing", "63.8 MB")</f>
        <v>63.8 MB</v>
      </c>
    </row>
    <row r="359">
      <c r="A359" s="1" t="s">
        <v>347</v>
      </c>
      <c r="B359" s="1" t="s">
        <v>676</v>
      </c>
      <c r="C359" s="1" t="s">
        <v>424</v>
      </c>
      <c r="D359" s="1" t="s">
        <v>9</v>
      </c>
      <c r="E359" s="1" t="s">
        <v>41</v>
      </c>
      <c r="F359" s="3" t="str">
        <f>HYPERLINK("https://drive.google.com/file/d/194KZ93u8aeA2esOJIFuMIqS4vU9jt5Vx/view?usp=sharing", "63.8 MB")</f>
        <v>63.8 MB</v>
      </c>
    </row>
    <row r="360">
      <c r="A360" s="2" t="s">
        <v>677</v>
      </c>
      <c r="B360" s="1" t="s">
        <v>676</v>
      </c>
      <c r="C360" s="1" t="s">
        <v>678</v>
      </c>
      <c r="D360" s="1" t="s">
        <v>9</v>
      </c>
      <c r="E360" s="1" t="s">
        <v>10</v>
      </c>
      <c r="F360" s="3" t="str">
        <f>HYPERLINK("https://drive.google.com/file/d/16kPVblVq4Er-5YW55hIyWq_G8cJKDELM/view?usp=drivesdk", "74.9 MB")</f>
        <v>74.9 MB</v>
      </c>
    </row>
    <row r="361">
      <c r="A361" s="1" t="s">
        <v>679</v>
      </c>
      <c r="B361" s="1" t="s">
        <v>676</v>
      </c>
      <c r="C361" s="1" t="s">
        <v>680</v>
      </c>
      <c r="D361" s="1" t="s">
        <v>9</v>
      </c>
      <c r="E361" s="1" t="s">
        <v>10</v>
      </c>
      <c r="F361" s="3" t="str">
        <f>HYPERLINK("https://drive.google.com/file/d/1cbOsXqYdY_90PS-NdYd8_dwz6lK5w0dN/view?usp=drivesdk", "80.1 MB")</f>
        <v>80.1 MB</v>
      </c>
    </row>
    <row r="362">
      <c r="A362" s="1" t="s">
        <v>681</v>
      </c>
      <c r="B362" s="1" t="s">
        <v>676</v>
      </c>
      <c r="C362" s="1" t="s">
        <v>682</v>
      </c>
      <c r="D362" s="1" t="s">
        <v>9</v>
      </c>
      <c r="E362" s="1" t="s">
        <v>16</v>
      </c>
      <c r="F362" s="3" t="str">
        <f>HYPERLINK("https://drive.google.com/file/d/1EGb-cnQ6Xjg-yXxt84Og-6qM7ZPoWCdx/view?usp=drivesdk", "17.7 MB")</f>
        <v>17.7 MB</v>
      </c>
    </row>
    <row r="363">
      <c r="A363" s="1" t="s">
        <v>683</v>
      </c>
      <c r="B363" s="1" t="s">
        <v>676</v>
      </c>
      <c r="C363" s="1" t="s">
        <v>684</v>
      </c>
      <c r="D363" s="1" t="s">
        <v>9</v>
      </c>
      <c r="E363" s="1" t="s">
        <v>16</v>
      </c>
      <c r="F363" s="3" t="str">
        <f>HYPERLINK("https://drive.google.com/file/d/1bz-glvTUAPmZLeO9a5lgx3iBIf3oes7B/view?usp=drivesdk", "75.5 MB")</f>
        <v>75.5 MB</v>
      </c>
    </row>
    <row r="364">
      <c r="A364" s="1" t="s">
        <v>685</v>
      </c>
      <c r="B364" s="1" t="s">
        <v>676</v>
      </c>
      <c r="C364" s="1" t="s">
        <v>686</v>
      </c>
      <c r="D364" s="1" t="s">
        <v>9</v>
      </c>
      <c r="E364" s="1" t="s">
        <v>10</v>
      </c>
      <c r="F364" s="3" t="str">
        <f>HYPERLINK("https://drive.google.com/file/d/1zZvNcPhrOZIyvjrVOLw7ZwT68r1yfXmx/view?usp=drivesdk", "19.6 MB")</f>
        <v>19.6 MB</v>
      </c>
    </row>
    <row r="365">
      <c r="A365" s="1" t="s">
        <v>687</v>
      </c>
      <c r="B365" s="1" t="s">
        <v>676</v>
      </c>
      <c r="C365" s="1" t="s">
        <v>688</v>
      </c>
      <c r="D365" s="1" t="s">
        <v>9</v>
      </c>
      <c r="E365" s="1" t="s">
        <v>10</v>
      </c>
      <c r="F365" s="3" t="str">
        <f>HYPERLINK("https://drive.google.com/file/d/1hAkSXwogCtxVTDgJmlJxf4xOdyde5H-e/view?usp=drivesdk", "65.8 MB")</f>
        <v>65.8 MB</v>
      </c>
    </row>
    <row r="366">
      <c r="A366" s="1" t="s">
        <v>689</v>
      </c>
      <c r="B366" s="1" t="s">
        <v>676</v>
      </c>
      <c r="C366" s="1" t="s">
        <v>690</v>
      </c>
      <c r="D366" s="1" t="s">
        <v>9</v>
      </c>
      <c r="E366" s="1" t="s">
        <v>10</v>
      </c>
      <c r="F366" s="3" t="str">
        <f>HYPERLINK("https://drive.google.com/file/d/1HjwIYMGzDsGPw04DIlr2oeobcehy3Yqi/view?usp=drivesdk", "56.5 MB")</f>
        <v>56.5 MB</v>
      </c>
    </row>
    <row r="367">
      <c r="A367" s="1" t="s">
        <v>691</v>
      </c>
      <c r="B367" s="1" t="s">
        <v>676</v>
      </c>
      <c r="C367" s="1" t="s">
        <v>692</v>
      </c>
      <c r="D367" s="1" t="s">
        <v>9</v>
      </c>
      <c r="E367" s="1" t="s">
        <v>10</v>
      </c>
      <c r="F367" s="3" t="str">
        <f>HYPERLINK("https://drive.google.com/file/d/1n3PRhLbuHZbE1hsd5lC4QwOMJEz2zsoc/view?usp=drivesdk", "60.2 MB")</f>
        <v>60.2 MB</v>
      </c>
    </row>
    <row r="368">
      <c r="A368" s="1" t="s">
        <v>693</v>
      </c>
      <c r="B368" s="1" t="s">
        <v>676</v>
      </c>
      <c r="C368" s="1" t="s">
        <v>694</v>
      </c>
      <c r="D368" s="1" t="s">
        <v>9</v>
      </c>
      <c r="E368" s="1" t="s">
        <v>16</v>
      </c>
      <c r="F368" s="3" t="str">
        <f>HYPERLINK("https://drive.google.com/file/d/1Ds4hBjrizK8A8ayQCNAfeqp1-GfMBv_u/view?usp=drivesdk", "91.5 MB")</f>
        <v>91.5 MB</v>
      </c>
    </row>
    <row r="369">
      <c r="A369" s="1" t="s">
        <v>695</v>
      </c>
      <c r="B369" s="1" t="s">
        <v>676</v>
      </c>
      <c r="C369" s="1" t="s">
        <v>694</v>
      </c>
      <c r="D369" s="1" t="s">
        <v>9</v>
      </c>
      <c r="E369" s="1" t="s">
        <v>41</v>
      </c>
      <c r="F369" s="3" t="str">
        <f>HYPERLINK("https://drive.google.com/file/d/1L61pVqeky3FznWfGrYpouQhO42-8KlFk/view?usp=drivesdk", "91.5 MB")</f>
        <v>91.5 MB</v>
      </c>
    </row>
    <row r="370">
      <c r="A370" s="1" t="s">
        <v>696</v>
      </c>
      <c r="B370" s="1" t="s">
        <v>676</v>
      </c>
      <c r="C370" s="1" t="s">
        <v>697</v>
      </c>
      <c r="D370" s="1" t="s">
        <v>9</v>
      </c>
      <c r="E370" s="1" t="s">
        <v>10</v>
      </c>
      <c r="F370" s="3" t="str">
        <f>HYPERLINK("https://drive.google.com/file/d/1-suhi0M2InPFFGGlKGq2hpKIdf0MdbTP/view?usp=drivesdk", "85.5 MB")</f>
        <v>85.5 MB</v>
      </c>
    </row>
    <row r="371">
      <c r="A371" s="1" t="s">
        <v>698</v>
      </c>
      <c r="B371" s="1" t="s">
        <v>676</v>
      </c>
      <c r="C371" s="1" t="s">
        <v>699</v>
      </c>
      <c r="D371" s="1" t="s">
        <v>9</v>
      </c>
      <c r="E371" s="1" t="s">
        <v>10</v>
      </c>
      <c r="F371" s="3" t="str">
        <f>HYPERLINK("https://drive.google.com/file/d/1jmPI0I9UZAZuh662_rvGIGts3fp2rNpp/view?usp=drivesdk", "82.3 MB")</f>
        <v>82.3 MB</v>
      </c>
    </row>
    <row r="372">
      <c r="A372" s="1" t="s">
        <v>700</v>
      </c>
      <c r="B372" s="1" t="s">
        <v>676</v>
      </c>
      <c r="C372" s="1" t="s">
        <v>701</v>
      </c>
      <c r="D372" s="1" t="s">
        <v>9</v>
      </c>
      <c r="E372" s="1" t="s">
        <v>10</v>
      </c>
      <c r="F372" s="3" t="str">
        <f>HYPERLINK("https://drive.google.com/file/d/1M1JAErHN7JNo3naRkTr17FMsqxs1jQnm/view?usp=drivesdk", "72.3 MB")</f>
        <v>72.3 MB</v>
      </c>
    </row>
    <row r="373">
      <c r="A373" s="1" t="s">
        <v>702</v>
      </c>
      <c r="B373" s="1" t="s">
        <v>676</v>
      </c>
      <c r="C373" s="1" t="s">
        <v>703</v>
      </c>
      <c r="D373" s="1" t="s">
        <v>9</v>
      </c>
      <c r="E373" s="1" t="s">
        <v>10</v>
      </c>
      <c r="F373" s="3" t="str">
        <f>HYPERLINK("https://drive.google.com/file/d/1kN_EFc8_IaQGnSY7wNTwmpcNvZj5GhJx/view?usp=drivesdk", "67.4 MB")</f>
        <v>67.4 MB</v>
      </c>
    </row>
    <row r="374">
      <c r="A374" s="1" t="s">
        <v>704</v>
      </c>
      <c r="B374" s="1" t="s">
        <v>676</v>
      </c>
      <c r="C374" s="1" t="s">
        <v>705</v>
      </c>
      <c r="D374" s="1" t="s">
        <v>9</v>
      </c>
      <c r="E374" s="1" t="s">
        <v>10</v>
      </c>
      <c r="F374" s="3" t="str">
        <f>HYPERLINK("https://drive.google.com/file/d/1nswRsl3FRq4WXwPzgCTpLA17LxNyqgAB/view?usp=drivesdk", "73.8 MB")</f>
        <v>73.8 MB</v>
      </c>
    </row>
    <row r="375">
      <c r="A375" s="1" t="s">
        <v>706</v>
      </c>
      <c r="B375" s="1" t="s">
        <v>676</v>
      </c>
      <c r="C375" s="1" t="s">
        <v>707</v>
      </c>
      <c r="D375" s="1" t="s">
        <v>9</v>
      </c>
      <c r="E375" s="1" t="s">
        <v>10</v>
      </c>
      <c r="F375" s="3" t="str">
        <f>HYPERLINK("https://drive.google.com/file/d/1kOT6ySO6XILGQ2ri1BIy6fEsvbEUCG5l/view?usp=drivesdk", "73.9 MB")</f>
        <v>73.9 MB</v>
      </c>
    </row>
    <row r="376">
      <c r="A376" s="1" t="s">
        <v>708</v>
      </c>
      <c r="B376" s="1" t="s">
        <v>676</v>
      </c>
      <c r="C376" s="1" t="s">
        <v>709</v>
      </c>
      <c r="D376" s="1" t="s">
        <v>9</v>
      </c>
      <c r="E376" s="1" t="s">
        <v>10</v>
      </c>
      <c r="F376" s="3" t="str">
        <f>HYPERLINK("https://drive.google.com/file/d/10B01gMYDNwe3F51GWTlqaqjgeei9Kst-/view?usp=drivesdk", "81.4 MB")</f>
        <v>81.4 MB</v>
      </c>
    </row>
    <row r="377">
      <c r="A377" s="1" t="s">
        <v>710</v>
      </c>
      <c r="B377" s="1" t="s">
        <v>676</v>
      </c>
      <c r="C377" s="1" t="s">
        <v>711</v>
      </c>
      <c r="D377" s="1" t="s">
        <v>9</v>
      </c>
      <c r="E377" s="1" t="s">
        <v>10</v>
      </c>
      <c r="F377" s="3" t="str">
        <f>HYPERLINK("https://drive.google.com/file/d/1vmdUhYz7id0osdU-VZoB87_arK374CPO/view?usp=drivesdk", "83.2 MB")</f>
        <v>83.2 MB</v>
      </c>
    </row>
    <row r="378">
      <c r="A378" s="1" t="s">
        <v>712</v>
      </c>
      <c r="B378" s="1" t="s">
        <v>676</v>
      </c>
      <c r="C378" s="1" t="s">
        <v>713</v>
      </c>
      <c r="D378" s="1" t="s">
        <v>9</v>
      </c>
      <c r="E378" s="1" t="s">
        <v>10</v>
      </c>
      <c r="F378" s="3" t="str">
        <f>HYPERLINK("https://drive.google.com/file/d/1zHFYekDDR45ko2P5uttSGyLi_3vrRuLx/view?usp=drivesdk", "81.6 MB")</f>
        <v>81.6 MB</v>
      </c>
    </row>
    <row r="379">
      <c r="A379" s="1" t="s">
        <v>714</v>
      </c>
      <c r="B379" s="1" t="s">
        <v>676</v>
      </c>
      <c r="C379" s="1" t="s">
        <v>715</v>
      </c>
      <c r="D379" s="1" t="s">
        <v>9</v>
      </c>
      <c r="E379" s="1" t="s">
        <v>10</v>
      </c>
      <c r="F379" s="3" t="str">
        <f>HYPERLINK("https://drive.google.com/file/d/1Smm7J2vfx_7cIh4rPLJNFPPpc6lDBe3e/view?usp=drivesdk", "60.1 MB")</f>
        <v>60.1 MB</v>
      </c>
    </row>
    <row r="380">
      <c r="A380" s="1" t="s">
        <v>716</v>
      </c>
      <c r="B380" s="1" t="s">
        <v>676</v>
      </c>
      <c r="C380" s="1" t="s">
        <v>717</v>
      </c>
      <c r="D380" s="1" t="s">
        <v>9</v>
      </c>
      <c r="E380" s="1" t="s">
        <v>10</v>
      </c>
      <c r="F380" s="3" t="str">
        <f>HYPERLINK("https://drive.google.com/file/d/1wNgs5s_gsKx4LeJxHJb5b42QpIO9PNbn/view?usp=drivesdk", "89.4 MB")</f>
        <v>89.4 MB</v>
      </c>
    </row>
    <row r="381">
      <c r="A381" s="1" t="s">
        <v>718</v>
      </c>
      <c r="B381" s="1" t="s">
        <v>676</v>
      </c>
      <c r="C381" s="1" t="s">
        <v>719</v>
      </c>
      <c r="D381" s="1" t="s">
        <v>9</v>
      </c>
      <c r="E381" s="1" t="s">
        <v>10</v>
      </c>
      <c r="F381" s="3" t="str">
        <f>HYPERLINK("https://drive.google.com/file/d/1eIDMmBHKYzjiCGEglwLAmgrN68fhLleM/view?usp=drivesdk", "83.3 MB")</f>
        <v>83.3 MB</v>
      </c>
    </row>
    <row r="382">
      <c r="A382" s="1" t="s">
        <v>720</v>
      </c>
      <c r="B382" s="1" t="s">
        <v>676</v>
      </c>
      <c r="C382" s="1" t="s">
        <v>721</v>
      </c>
      <c r="D382" s="1" t="s">
        <v>9</v>
      </c>
      <c r="E382" s="1" t="s">
        <v>41</v>
      </c>
      <c r="F382" s="3" t="str">
        <f>HYPERLINK("https://drive.google.com/file/d/10ZrrGnB5CCDGdLcP4q3f-UozO5vE8UVg/view?usp=drivesdk", "40.1 MB")</f>
        <v>40.1 MB</v>
      </c>
    </row>
    <row r="383">
      <c r="A383" s="1" t="s">
        <v>722</v>
      </c>
      <c r="B383" s="1" t="s">
        <v>676</v>
      </c>
      <c r="C383" s="1" t="s">
        <v>723</v>
      </c>
      <c r="D383" s="1" t="s">
        <v>9</v>
      </c>
      <c r="E383" s="1" t="s">
        <v>41</v>
      </c>
      <c r="F383" s="3" t="str">
        <f>HYPERLINK("https://drive.google.com/file/d/1SYMi1TBCiCQclalcirG3eqJ6TF6LiQuU/view?usp=drivesdk", "70.9 MB")</f>
        <v>70.9 MB</v>
      </c>
    </row>
    <row r="384">
      <c r="A384" s="1" t="s">
        <v>724</v>
      </c>
      <c r="B384" s="1" t="s">
        <v>676</v>
      </c>
      <c r="C384" s="1" t="s">
        <v>725</v>
      </c>
      <c r="D384" s="1" t="s">
        <v>9</v>
      </c>
      <c r="E384" s="1" t="s">
        <v>41</v>
      </c>
      <c r="F384" s="3" t="str">
        <f>HYPERLINK("https://drive.google.com/file/d/1KslUMyxXu76qDslcQHqQDOG3DP7aR2hi/view?usp=drivesdk", "89.3 MB")</f>
        <v>89.3 MB</v>
      </c>
    </row>
    <row r="385">
      <c r="A385" s="1" t="s">
        <v>726</v>
      </c>
      <c r="B385" s="1" t="s">
        <v>676</v>
      </c>
      <c r="C385" s="1" t="s">
        <v>727</v>
      </c>
      <c r="D385" s="1" t="s">
        <v>9</v>
      </c>
      <c r="E385" s="1" t="s">
        <v>41</v>
      </c>
      <c r="F385" s="3" t="str">
        <f>HYPERLINK("https://drive.google.com/file/d/1ZTCRk8Y4UqdkC5JT8XjHNr7XrtSb0VCx/view?usp=drivesdk", "82.1 MB")</f>
        <v>82.1 MB</v>
      </c>
    </row>
    <row r="386">
      <c r="A386" s="1" t="s">
        <v>728</v>
      </c>
      <c r="B386" s="1" t="s">
        <v>676</v>
      </c>
      <c r="C386" s="1" t="s">
        <v>729</v>
      </c>
      <c r="D386" s="1" t="s">
        <v>9</v>
      </c>
      <c r="E386" s="1" t="s">
        <v>41</v>
      </c>
      <c r="F386" s="3" t="str">
        <f>HYPERLINK("https://drive.google.com/file/d/1rQ62LhEDtDQWdeltPr5BFz77MQOauk5a/view?usp=drivesdk", "42.2 MB")</f>
        <v>42.2 MB</v>
      </c>
    </row>
    <row r="387">
      <c r="A387" s="1" t="s">
        <v>730</v>
      </c>
      <c r="B387" s="1" t="s">
        <v>676</v>
      </c>
      <c r="C387" s="1" t="s">
        <v>731</v>
      </c>
      <c r="D387" s="1" t="s">
        <v>9</v>
      </c>
      <c r="E387" s="1" t="s">
        <v>10</v>
      </c>
      <c r="F387" s="3" t="str">
        <f>HYPERLINK("https://drive.google.com/file/d/14N6iA6MufcYg7s_tN-lwZ_PP-4pMrjvh/view?usp=drivesdk", "61.4 MB")</f>
        <v>61.4 MB</v>
      </c>
    </row>
    <row r="388">
      <c r="A388" s="1" t="s">
        <v>732</v>
      </c>
      <c r="B388" s="1" t="s">
        <v>676</v>
      </c>
      <c r="C388" s="1" t="s">
        <v>733</v>
      </c>
      <c r="D388" s="1" t="s">
        <v>9</v>
      </c>
      <c r="E388" s="1" t="s">
        <v>16</v>
      </c>
      <c r="F388" s="3" t="str">
        <f>HYPERLINK("https://drive.google.com/file/d/1LQvCUa9h-kXW2D3SNUqNaKSE1-PHHCT-/view?usp=drivesdk", "63.8 MB")</f>
        <v>63.8 MB</v>
      </c>
    </row>
    <row r="389">
      <c r="A389" s="1" t="s">
        <v>734</v>
      </c>
      <c r="B389" s="1" t="s">
        <v>676</v>
      </c>
      <c r="C389" s="1" t="s">
        <v>735</v>
      </c>
      <c r="D389" s="1" t="s">
        <v>9</v>
      </c>
      <c r="E389" s="1" t="s">
        <v>16</v>
      </c>
      <c r="F389" s="3" t="str">
        <f>HYPERLINK("https://drive.google.com/file/d/1uE11tCA7qnKl5AN48KyLnj7RF7x1E6cM/view?usp=drivesdk", "75.6 MB")</f>
        <v>75.6 MB</v>
      </c>
    </row>
    <row r="390">
      <c r="A390" s="1" t="s">
        <v>736</v>
      </c>
      <c r="B390" s="1" t="s">
        <v>676</v>
      </c>
      <c r="C390" s="1" t="s">
        <v>737</v>
      </c>
      <c r="D390" s="1" t="s">
        <v>9</v>
      </c>
      <c r="E390" s="1" t="s">
        <v>41</v>
      </c>
      <c r="F390" s="3" t="str">
        <f>HYPERLINK("https://drive.google.com/file/d/129mlgpP7vqTL0kQsjqPhD1NElEwG2AHc/view?usp=drivesdk", "74.3 MB")</f>
        <v>74.3 MB</v>
      </c>
    </row>
    <row r="391">
      <c r="A391" s="1" t="s">
        <v>738</v>
      </c>
      <c r="B391" s="1" t="s">
        <v>676</v>
      </c>
      <c r="C391" s="1" t="s">
        <v>739</v>
      </c>
      <c r="D391" s="1" t="s">
        <v>9</v>
      </c>
      <c r="E391" s="1" t="s">
        <v>41</v>
      </c>
      <c r="F391" s="3" t="str">
        <f>HYPERLINK("https://drive.google.com/file/d/1wceGOWb2qt03QN7jVAZIXtbPiO6Xpyvp/view?usp=drivesdk", "51 MB")</f>
        <v>51 MB</v>
      </c>
    </row>
    <row r="392">
      <c r="A392" s="1" t="s">
        <v>740</v>
      </c>
      <c r="B392" s="1" t="s">
        <v>676</v>
      </c>
      <c r="C392" s="1" t="s">
        <v>741</v>
      </c>
      <c r="D392" s="1" t="s">
        <v>9</v>
      </c>
      <c r="E392" s="1" t="s">
        <v>41</v>
      </c>
      <c r="F392" s="3" t="str">
        <f>HYPERLINK("https://drive.google.com/file/d/1em-q0ocnSnWPTXJOWCgFAyuJBQ0yfbcn/view?usp=drivesdk", "96.5 MB")</f>
        <v>96.5 MB</v>
      </c>
    </row>
    <row r="393">
      <c r="A393" s="1" t="s">
        <v>742</v>
      </c>
      <c r="B393" s="1" t="s">
        <v>676</v>
      </c>
      <c r="C393" s="1" t="s">
        <v>743</v>
      </c>
      <c r="D393" s="1" t="s">
        <v>9</v>
      </c>
      <c r="E393" s="1" t="s">
        <v>41</v>
      </c>
      <c r="F393" s="3" t="str">
        <f>HYPERLINK("https://drive.google.com/file/d/1XDZESx6ViSusefq9xoHVxu_9YoKwFbNM/view?usp=drivesdk", "52.5 MB")</f>
        <v>52.5 MB</v>
      </c>
    </row>
    <row r="394">
      <c r="A394" s="1" t="s">
        <v>744</v>
      </c>
      <c r="B394" s="1" t="s">
        <v>676</v>
      </c>
      <c r="C394" s="1" t="s">
        <v>745</v>
      </c>
      <c r="D394" s="1" t="s">
        <v>9</v>
      </c>
      <c r="E394" s="1" t="s">
        <v>41</v>
      </c>
      <c r="F394" s="3" t="str">
        <f>HYPERLINK("https://drive.google.com/file/d/1Db90DjlGCONM5GBgevmvm5czM7fXjUs4/view?usp=drivesdk", "65.7 MB")</f>
        <v>65.7 MB</v>
      </c>
    </row>
    <row r="395">
      <c r="A395" s="1" t="s">
        <v>746</v>
      </c>
      <c r="B395" s="1" t="s">
        <v>676</v>
      </c>
      <c r="C395" s="1" t="s">
        <v>747</v>
      </c>
      <c r="D395" s="1" t="s">
        <v>9</v>
      </c>
      <c r="E395" s="1" t="s">
        <v>10</v>
      </c>
      <c r="F395" s="3" t="str">
        <f>HYPERLINK("https://drive.google.com/file/d/1tdNKlucwMNxxkskNvU0UqB7HshxN4Ju2/view?usp=drivesdk", "40 MB")</f>
        <v>40 MB</v>
      </c>
    </row>
    <row r="396">
      <c r="A396" s="1" t="s">
        <v>748</v>
      </c>
      <c r="B396" s="1" t="s">
        <v>676</v>
      </c>
      <c r="C396" s="1" t="s">
        <v>749</v>
      </c>
      <c r="D396" s="1" t="s">
        <v>9</v>
      </c>
      <c r="E396" s="1" t="s">
        <v>10</v>
      </c>
      <c r="F396" s="3" t="str">
        <f>HYPERLINK("https://drive.google.com/file/d/17DAlVXfxSjsyBCJl8FCcOL2ZYItrDPPD/view?usp=drivesdk", "82.9 MB")</f>
        <v>82.9 MB</v>
      </c>
    </row>
    <row r="397">
      <c r="A397" s="1" t="s">
        <v>750</v>
      </c>
      <c r="B397" s="1" t="s">
        <v>676</v>
      </c>
      <c r="C397" s="1" t="s">
        <v>751</v>
      </c>
      <c r="D397" s="1" t="s">
        <v>9</v>
      </c>
      <c r="E397" s="1" t="s">
        <v>10</v>
      </c>
      <c r="F397" s="3" t="str">
        <f>HYPERLINK("https://drive.google.com/file/d/1TS61aRJibzgziGGgGvGADO-WXvs03Hz5/view?usp=drivesdk", "59.5 MB")</f>
        <v>59.5 MB</v>
      </c>
    </row>
    <row r="398">
      <c r="A398" s="1" t="s">
        <v>752</v>
      </c>
      <c r="B398" s="1" t="s">
        <v>676</v>
      </c>
      <c r="C398" s="1" t="s">
        <v>753</v>
      </c>
      <c r="D398" s="1" t="s">
        <v>9</v>
      </c>
      <c r="E398" s="1" t="s">
        <v>93</v>
      </c>
      <c r="F398" s="3" t="str">
        <f>HYPERLINK("https://drive.google.com/file/d/12BzsI5Zb_nvWoaTALQdiH4Vji_BFRFgd/view?usp=drivesdk", "84.3 MB")</f>
        <v>84.3 MB</v>
      </c>
    </row>
    <row r="399">
      <c r="A399" s="1" t="s">
        <v>754</v>
      </c>
      <c r="B399" s="1" t="s">
        <v>676</v>
      </c>
      <c r="C399" s="1" t="s">
        <v>755</v>
      </c>
      <c r="D399" s="1" t="s">
        <v>9</v>
      </c>
      <c r="E399" s="1" t="s">
        <v>10</v>
      </c>
      <c r="F399" s="3" t="str">
        <f>HYPERLINK("https://drive.google.com/file/d/1jM8RWqs_y0gIpZyhbwYuES2s4IqKF9du/view?usp=drivesdk", "525 MB")</f>
        <v>525 MB</v>
      </c>
    </row>
    <row r="400">
      <c r="A400" s="1" t="s">
        <v>756</v>
      </c>
      <c r="B400" s="1" t="s">
        <v>676</v>
      </c>
      <c r="C400" s="1" t="s">
        <v>757</v>
      </c>
      <c r="D400" s="1" t="s">
        <v>9</v>
      </c>
      <c r="E400" s="1" t="s">
        <v>10</v>
      </c>
      <c r="F400" s="3" t="str">
        <f>HYPERLINK("https://drive.google.com/file/d/1uGq-6xic5ktLayBSMtK_49Kq-gjkqty9/view?usp=drivesdk", "70 MB")</f>
        <v>70 MB</v>
      </c>
    </row>
    <row r="401">
      <c r="A401" s="1" t="s">
        <v>758</v>
      </c>
      <c r="B401" s="1" t="s">
        <v>676</v>
      </c>
      <c r="C401" s="1" t="s">
        <v>759</v>
      </c>
      <c r="D401" s="1" t="s">
        <v>9</v>
      </c>
      <c r="E401" s="1" t="s">
        <v>10</v>
      </c>
      <c r="F401" s="3" t="str">
        <f>HYPERLINK("https://drive.google.com/file/d/18xSQCTZynotWsB-yi25YYbSzOhZBKuVV/view?usp=drivesdk", "62.5 MB")</f>
        <v>62.5 MB</v>
      </c>
    </row>
    <row r="402">
      <c r="A402" s="1" t="s">
        <v>760</v>
      </c>
      <c r="B402" s="1" t="s">
        <v>676</v>
      </c>
      <c r="C402" s="1" t="s">
        <v>761</v>
      </c>
      <c r="D402" s="1" t="s">
        <v>9</v>
      </c>
      <c r="E402" s="1" t="s">
        <v>10</v>
      </c>
      <c r="F402" s="3" t="str">
        <f>HYPERLINK("https://drive.google.com/file/d/1ywNGeE0TRlYi7Szb2bQ5Df_pISxoI5GB/view?usp=drivesdk", "72.4 MB")</f>
        <v>72.4 MB</v>
      </c>
    </row>
    <row r="403">
      <c r="A403" s="1" t="s">
        <v>762</v>
      </c>
      <c r="B403" s="1" t="s">
        <v>676</v>
      </c>
      <c r="C403" s="1" t="s">
        <v>763</v>
      </c>
      <c r="D403" s="1" t="s">
        <v>9</v>
      </c>
      <c r="E403" s="1" t="s">
        <v>10</v>
      </c>
      <c r="F403" s="3" t="str">
        <f>HYPERLINK("https://drive.google.com/file/d/1TSkNnw63WSp27EdwLVn20VmEX_h6qt33/view?usp=drivesdk", "88.3 MB")</f>
        <v>88.3 MB</v>
      </c>
    </row>
    <row r="404">
      <c r="A404" s="1" t="s">
        <v>764</v>
      </c>
      <c r="B404" s="1" t="s">
        <v>676</v>
      </c>
      <c r="C404" s="1" t="s">
        <v>765</v>
      </c>
      <c r="D404" s="1" t="s">
        <v>9</v>
      </c>
      <c r="E404" s="1" t="s">
        <v>10</v>
      </c>
      <c r="F404" s="3" t="str">
        <f>HYPERLINK("https://drive.google.com/file/d/1oluRkvDnAJQUtuIR0Fokfh23JgwDRk3e/view?usp=drivesdk", "66.1 MB")</f>
        <v>66.1 MB</v>
      </c>
    </row>
    <row r="405">
      <c r="A405" s="1" t="s">
        <v>766</v>
      </c>
      <c r="B405" s="1" t="s">
        <v>676</v>
      </c>
      <c r="C405" s="1" t="s">
        <v>767</v>
      </c>
      <c r="D405" s="1" t="s">
        <v>9</v>
      </c>
      <c r="E405" s="1" t="s">
        <v>10</v>
      </c>
      <c r="F405" s="3" t="str">
        <f>HYPERLINK("https://drive.google.com/file/d/1QTBRnaLcJr5rftSC3mcFGjT6JG-Gjev0/view?usp=drivesdk", "72.3 MB")</f>
        <v>72.3 MB</v>
      </c>
    </row>
    <row r="406">
      <c r="A406" s="1" t="s">
        <v>768</v>
      </c>
      <c r="B406" s="1" t="s">
        <v>676</v>
      </c>
      <c r="C406" s="1" t="s">
        <v>769</v>
      </c>
      <c r="D406" s="1" t="s">
        <v>9</v>
      </c>
      <c r="E406" s="1" t="s">
        <v>10</v>
      </c>
      <c r="F406" s="3" t="str">
        <f>HYPERLINK("https://drive.google.com/file/d/1E_s_QX3SuKzetLBKBr4wi5ycsyE5feqS/view?usp=drivesdk", "38.2 MB")</f>
        <v>38.2 MB</v>
      </c>
    </row>
    <row r="407">
      <c r="A407" s="1" t="s">
        <v>770</v>
      </c>
      <c r="B407" s="1" t="s">
        <v>676</v>
      </c>
      <c r="C407" s="1" t="s">
        <v>771</v>
      </c>
      <c r="D407" s="1" t="s">
        <v>9</v>
      </c>
      <c r="E407" s="1" t="s">
        <v>16</v>
      </c>
      <c r="F407" s="3" t="str">
        <f>HYPERLINK("https://drive.google.com/file/d/1XEajirF8Z2AkePoAh-nmHDCfuOEQHops/view?usp=drivesdk", "43.4 MB")</f>
        <v>43.4 MB</v>
      </c>
    </row>
    <row r="408">
      <c r="A408" s="1" t="s">
        <v>772</v>
      </c>
      <c r="B408" s="1" t="s">
        <v>676</v>
      </c>
      <c r="C408" s="1" t="s">
        <v>773</v>
      </c>
      <c r="D408" s="1" t="s">
        <v>9</v>
      </c>
      <c r="E408" s="1" t="s">
        <v>16</v>
      </c>
      <c r="F408" s="3" t="str">
        <f>HYPERLINK("https://drive.google.com/file/d/1wxpWOZriMsEuxPptYUQdXPosla9wZ4TG/view?usp=drivesdk", "94.2 MB")</f>
        <v>94.2 MB</v>
      </c>
    </row>
    <row r="409">
      <c r="A409" s="1" t="s">
        <v>774</v>
      </c>
      <c r="B409" s="1" t="s">
        <v>676</v>
      </c>
      <c r="C409" s="1" t="s">
        <v>775</v>
      </c>
      <c r="D409" s="1" t="s">
        <v>9</v>
      </c>
      <c r="E409" s="1" t="s">
        <v>41</v>
      </c>
      <c r="F409" s="3" t="str">
        <f>HYPERLINK("https://drive.google.com/file/d/16nBg-CK5G7_M32KV6GomeLI6l-5cLemq/view?usp=drivesdk", "61 MB")</f>
        <v>61 MB</v>
      </c>
    </row>
    <row r="410">
      <c r="A410" s="1" t="s">
        <v>776</v>
      </c>
      <c r="B410" s="1" t="s">
        <v>676</v>
      </c>
      <c r="C410" s="1" t="s">
        <v>777</v>
      </c>
      <c r="D410" s="1" t="s">
        <v>9</v>
      </c>
      <c r="E410" s="1" t="s">
        <v>10</v>
      </c>
      <c r="F410" s="3" t="str">
        <f>HYPERLINK("https://drive.google.com/file/d/1zcr9hAcP_oJ8dRchTocFk_FbsGO1Wtds/view?usp=drivesdk", "70.7 MB")</f>
        <v>70.7 MB</v>
      </c>
    </row>
    <row r="411">
      <c r="A411" s="1" t="s">
        <v>778</v>
      </c>
      <c r="B411" s="1" t="s">
        <v>676</v>
      </c>
      <c r="C411" s="1" t="s">
        <v>779</v>
      </c>
      <c r="D411" s="1" t="s">
        <v>9</v>
      </c>
      <c r="E411" s="1" t="s">
        <v>16</v>
      </c>
      <c r="F411" s="3" t="str">
        <f>HYPERLINK("https://drive.google.com/file/d/1D-IV-kVAVhConLmpnUwpmikXJlmOYWIj/view?usp=drivesdk", "28.4 MB")</f>
        <v>28.4 MB</v>
      </c>
    </row>
    <row r="412">
      <c r="A412" s="1" t="s">
        <v>780</v>
      </c>
      <c r="B412" s="1" t="s">
        <v>676</v>
      </c>
      <c r="C412" s="1" t="s">
        <v>781</v>
      </c>
      <c r="D412" s="1" t="s">
        <v>9</v>
      </c>
      <c r="E412" s="1" t="s">
        <v>16</v>
      </c>
      <c r="F412" s="3" t="str">
        <f>HYPERLINK("https://drive.google.com/file/d/1BRLOAGSxJqvhrpGxjkkNOfx1GqPUHJHT/view?usp=drivesdk", "69.3 MB")</f>
        <v>69.3 MB</v>
      </c>
    </row>
    <row r="413">
      <c r="A413" s="1" t="s">
        <v>782</v>
      </c>
      <c r="B413" s="1" t="s">
        <v>676</v>
      </c>
      <c r="C413" s="1" t="s">
        <v>783</v>
      </c>
      <c r="D413" s="1" t="s">
        <v>9</v>
      </c>
      <c r="E413" s="1" t="s">
        <v>41</v>
      </c>
      <c r="F413" s="3" t="str">
        <f>HYPERLINK("https://drive.google.com/file/d/1RR7HVRCSryaGblmXi-J85WcKGPGhhE5y/view?usp=drivesdk", "85.7 MB")</f>
        <v>85.7 MB</v>
      </c>
    </row>
    <row r="414">
      <c r="A414" s="1" t="s">
        <v>784</v>
      </c>
      <c r="B414" s="1" t="s">
        <v>676</v>
      </c>
      <c r="C414" s="1" t="s">
        <v>785</v>
      </c>
      <c r="D414" s="1" t="s">
        <v>9</v>
      </c>
      <c r="E414" s="1" t="s">
        <v>10</v>
      </c>
      <c r="F414" s="3" t="str">
        <f>HYPERLINK("https://drive.google.com/file/d/1gF8FhDZpYsDf8r6Yg7FVWLOEFil8KYC5/view?usp=drivesdk", "75.2 MB")</f>
        <v>75.2 MB</v>
      </c>
    </row>
    <row r="415">
      <c r="A415" s="1" t="s">
        <v>786</v>
      </c>
      <c r="B415" s="1" t="s">
        <v>676</v>
      </c>
      <c r="C415" s="1" t="s">
        <v>787</v>
      </c>
      <c r="D415" s="1" t="s">
        <v>9</v>
      </c>
      <c r="E415" s="1" t="s">
        <v>16</v>
      </c>
      <c r="F415" s="3" t="str">
        <f>HYPERLINK("https://drive.google.com/file/d/10UsQTvcwlaAdQqp62CtKAQiHZMnm5XCM/view?usp=drivesdk", "25.8 MB")</f>
        <v>25.8 MB</v>
      </c>
    </row>
    <row r="416">
      <c r="A416" s="1" t="s">
        <v>788</v>
      </c>
      <c r="B416" s="1" t="s">
        <v>676</v>
      </c>
      <c r="C416" s="1" t="s">
        <v>789</v>
      </c>
      <c r="D416" s="1" t="s">
        <v>9</v>
      </c>
      <c r="E416" s="1" t="s">
        <v>41</v>
      </c>
      <c r="F416" s="3" t="str">
        <f>HYPERLINK("https://drive.google.com/file/d/17lWZ7MWHCHcq4hCWIMHjsbYDqyzB_Ij0/view?usp=drivesdk", "24.8 MB")</f>
        <v>24.8 MB</v>
      </c>
    </row>
    <row r="417">
      <c r="A417" s="1" t="s">
        <v>790</v>
      </c>
      <c r="B417" s="1" t="s">
        <v>676</v>
      </c>
      <c r="C417" s="1" t="s">
        <v>791</v>
      </c>
      <c r="D417" s="1" t="s">
        <v>9</v>
      </c>
      <c r="E417" s="1" t="s">
        <v>41</v>
      </c>
      <c r="F417" s="3" t="str">
        <f>HYPERLINK("https://drive.google.com/file/d/1yfLmhtvXQfgfPSpxkTRY4nkOVKDfDAss/view?usp=drivesdk", "73.4 MB")</f>
        <v>73.4 MB</v>
      </c>
    </row>
    <row r="418">
      <c r="A418" s="1" t="s">
        <v>792</v>
      </c>
      <c r="B418" s="1" t="s">
        <v>676</v>
      </c>
      <c r="C418" s="1" t="s">
        <v>793</v>
      </c>
      <c r="D418" s="1" t="s">
        <v>9</v>
      </c>
      <c r="E418" s="1" t="s">
        <v>41</v>
      </c>
      <c r="F418" s="3" t="str">
        <f>HYPERLINK("https://drive.google.com/file/d/1TFeUdrwNZEI6YAVpnohwHXO0gusfgO-3/view?usp=drivesdk", "50.2 MB")</f>
        <v>50.2 MB</v>
      </c>
    </row>
    <row r="419">
      <c r="A419" s="1" t="s">
        <v>794</v>
      </c>
      <c r="B419" s="1" t="s">
        <v>676</v>
      </c>
      <c r="C419" s="1" t="s">
        <v>795</v>
      </c>
      <c r="D419" s="1" t="s">
        <v>9</v>
      </c>
      <c r="E419" s="1" t="s">
        <v>10</v>
      </c>
      <c r="F419" s="3" t="str">
        <f>HYPERLINK("https://drive.google.com/file/d/1UpJ2qvzLNCP0Abqm7CB8E4Te9HDWr88K/view?usp=drivesdk", "87.6 MB")</f>
        <v>87.6 MB</v>
      </c>
    </row>
    <row r="420">
      <c r="A420" s="1" t="s">
        <v>796</v>
      </c>
      <c r="B420" s="1" t="s">
        <v>676</v>
      </c>
      <c r="C420" s="1" t="s">
        <v>797</v>
      </c>
      <c r="D420" s="1" t="s">
        <v>9</v>
      </c>
      <c r="E420" s="1" t="s">
        <v>16</v>
      </c>
      <c r="F420" s="3" t="str">
        <f>HYPERLINK("https://drive.google.com/file/d/1JuuVdI5H5SrAxovfosQB8XTfqK5xAum-/view?usp=drivesdk", "62.7 MB")</f>
        <v>62.7 MB</v>
      </c>
    </row>
    <row r="421">
      <c r="A421" s="1" t="s">
        <v>798</v>
      </c>
      <c r="B421" s="1" t="s">
        <v>676</v>
      </c>
      <c r="C421" s="1" t="s">
        <v>799</v>
      </c>
      <c r="D421" s="1" t="s">
        <v>9</v>
      </c>
      <c r="E421" s="1" t="s">
        <v>41</v>
      </c>
      <c r="F421" s="3" t="str">
        <f>HYPERLINK("https://drive.google.com/file/d/1fzKQxgFXzpgMajhUrMTIRV89S-wSiPWx/view?usp=drivesdk", "19.6 MB")</f>
        <v>19.6 MB</v>
      </c>
    </row>
    <row r="422">
      <c r="A422" s="1" t="s">
        <v>800</v>
      </c>
      <c r="B422" s="1" t="s">
        <v>676</v>
      </c>
      <c r="C422" s="1" t="s">
        <v>801</v>
      </c>
      <c r="D422" s="1" t="s">
        <v>9</v>
      </c>
      <c r="E422" s="1" t="s">
        <v>41</v>
      </c>
      <c r="F422" s="3" t="str">
        <f>HYPERLINK("https://drive.google.com/file/d/1q9_-yfIIrKZiQZhIfNXVIGNNfMlYXXIP/view?usp=drivesdk", "83.1 MB")</f>
        <v>83.1 MB</v>
      </c>
    </row>
    <row r="423">
      <c r="A423" s="1" t="s">
        <v>802</v>
      </c>
      <c r="B423" s="1" t="s">
        <v>676</v>
      </c>
      <c r="C423" s="1" t="s">
        <v>803</v>
      </c>
      <c r="D423" s="1" t="s">
        <v>9</v>
      </c>
      <c r="E423" s="1" t="s">
        <v>10</v>
      </c>
      <c r="F423" s="3" t="str">
        <f>HYPERLINK("https://drive.google.com/file/d/1edSjGKZJRfMeVOiNaZKc6hLyAVbI5yLS/view?usp=drivesdk", "75.1 MB")</f>
        <v>75.1 MB</v>
      </c>
    </row>
    <row r="424">
      <c r="A424" s="1" t="s">
        <v>804</v>
      </c>
      <c r="B424" s="1" t="s">
        <v>676</v>
      </c>
      <c r="C424" s="1" t="s">
        <v>805</v>
      </c>
      <c r="D424" s="1" t="s">
        <v>9</v>
      </c>
      <c r="E424" s="1" t="s">
        <v>16</v>
      </c>
      <c r="F424" s="3" t="str">
        <f>HYPERLINK("https://drive.google.com/file/d/1DKUs9wy0KCZRVynZ52-zVkfiEUMXlNVi/view?usp=drivesdk", "51.1 MB")</f>
        <v>51.1 MB</v>
      </c>
    </row>
    <row r="425">
      <c r="A425" s="1" t="s">
        <v>806</v>
      </c>
      <c r="B425" s="1" t="s">
        <v>676</v>
      </c>
      <c r="C425" s="1" t="s">
        <v>807</v>
      </c>
      <c r="D425" s="1" t="s">
        <v>9</v>
      </c>
      <c r="E425" s="1" t="s">
        <v>16</v>
      </c>
      <c r="F425" s="3" t="str">
        <f>HYPERLINK("https://drive.google.com/file/d/1c70bnjZdh3GPUCmia9-Xz2M6pW_MrNX-/view?usp=drivesdk", "72.5 MB")</f>
        <v>72.5 MB</v>
      </c>
    </row>
    <row r="426">
      <c r="A426" s="1" t="s">
        <v>808</v>
      </c>
      <c r="B426" s="1" t="s">
        <v>676</v>
      </c>
      <c r="C426" s="1" t="s">
        <v>809</v>
      </c>
      <c r="D426" s="1" t="s">
        <v>9</v>
      </c>
      <c r="E426" s="1" t="s">
        <v>41</v>
      </c>
      <c r="F426" s="3" t="str">
        <f>HYPERLINK("https://drive.google.com/file/d/19XgyP5vZkadEmAPPJ_PN5WtpHPKqQr--/view?usp=drivesdk", "21 MB")</f>
        <v>21 MB</v>
      </c>
    </row>
    <row r="427">
      <c r="A427" s="1" t="s">
        <v>810</v>
      </c>
      <c r="B427" s="1" t="s">
        <v>676</v>
      </c>
      <c r="C427" s="1" t="s">
        <v>811</v>
      </c>
      <c r="D427" s="1" t="s">
        <v>9</v>
      </c>
      <c r="E427" s="1" t="s">
        <v>41</v>
      </c>
      <c r="F427" s="3" t="str">
        <f>HYPERLINK("https://drive.google.com/file/d/1kkGNnyWVhJOEC1jl9DSxAM2C7yf0ocSq/view?usp=drivesdk", "69.1 MB")</f>
        <v>69.1 MB</v>
      </c>
    </row>
    <row r="428">
      <c r="A428" s="1" t="s">
        <v>812</v>
      </c>
      <c r="B428" s="1" t="s">
        <v>676</v>
      </c>
      <c r="C428" s="1" t="s">
        <v>813</v>
      </c>
      <c r="D428" s="1" t="s">
        <v>9</v>
      </c>
      <c r="E428" s="1" t="s">
        <v>41</v>
      </c>
      <c r="F428" s="3" t="str">
        <f>HYPERLINK("https://drive.google.com/file/d/19HXHRAQ2ZqFz6gx2MXB2Y2aQWi4Sm6mt/view?usp=drivesdk", "98.7 MB")</f>
        <v>98.7 MB</v>
      </c>
    </row>
    <row r="429">
      <c r="A429" s="1" t="s">
        <v>814</v>
      </c>
      <c r="B429" s="1" t="s">
        <v>676</v>
      </c>
      <c r="C429" s="1" t="s">
        <v>815</v>
      </c>
      <c r="D429" s="1" t="s">
        <v>9</v>
      </c>
      <c r="E429" s="1" t="s">
        <v>41</v>
      </c>
      <c r="F429" s="3" t="str">
        <f>HYPERLINK("https://drive.google.com/file/d/1Lj2Nn7DGVzVfpnL4tOjYtng5Ghl83BSN/view?usp=drivesdk", "76.4 MB")</f>
        <v>76.4 MB</v>
      </c>
    </row>
    <row r="430">
      <c r="A430" s="1" t="s">
        <v>816</v>
      </c>
      <c r="B430" s="1" t="s">
        <v>676</v>
      </c>
      <c r="C430" s="1" t="s">
        <v>817</v>
      </c>
      <c r="D430" s="1" t="s">
        <v>9</v>
      </c>
      <c r="E430" s="1" t="s">
        <v>10</v>
      </c>
      <c r="F430" s="3" t="str">
        <f>HYPERLINK("https://drive.google.com/file/d/1TkLlTtRDRIB-3aF6MYXhsvyynJsMHyrL/view?usp=drivesdk", "48.5 MB")</f>
        <v>48.5 MB</v>
      </c>
    </row>
    <row r="431">
      <c r="A431" s="1" t="s">
        <v>818</v>
      </c>
      <c r="B431" s="1" t="s">
        <v>676</v>
      </c>
      <c r="C431" s="1" t="s">
        <v>819</v>
      </c>
      <c r="D431" s="1" t="s">
        <v>9</v>
      </c>
      <c r="E431" s="1" t="s">
        <v>10</v>
      </c>
      <c r="F431" s="3" t="str">
        <f>HYPERLINK("https://drive.google.com/file/d/1SL_NLrTq0tYjTkwBFtHuBA2kvs5Fxw4r/view?usp=drivesdk", "62.2 MB")</f>
        <v>62.2 MB</v>
      </c>
    </row>
    <row r="432">
      <c r="A432" s="1" t="s">
        <v>820</v>
      </c>
      <c r="B432" s="1" t="s">
        <v>676</v>
      </c>
      <c r="C432" s="1" t="s">
        <v>821</v>
      </c>
      <c r="D432" s="1" t="s">
        <v>9</v>
      </c>
      <c r="E432" s="1" t="s">
        <v>10</v>
      </c>
      <c r="F432" s="3" t="str">
        <f>HYPERLINK("https://drive.google.com/file/d/1O11ektcc2h-EdE7J8ACeQoyMBzQQzJkZ/view?usp=drivesdk", "83.8 MB")</f>
        <v>83.8 MB</v>
      </c>
    </row>
    <row r="433">
      <c r="A433" s="1" t="s">
        <v>822</v>
      </c>
      <c r="B433" s="1" t="s">
        <v>676</v>
      </c>
      <c r="C433" s="1" t="s">
        <v>823</v>
      </c>
      <c r="D433" s="1" t="s">
        <v>9</v>
      </c>
      <c r="E433" s="1" t="s">
        <v>10</v>
      </c>
      <c r="F433" s="3" t="str">
        <f>HYPERLINK("https://drive.google.com/file/d/1bCdd0dudAarIqTals318i4l4foujdL2t/view?usp=drivesdk", "88.8 MB")</f>
        <v>88.8 MB</v>
      </c>
    </row>
    <row r="434">
      <c r="A434" s="1" t="s">
        <v>824</v>
      </c>
      <c r="B434" s="1" t="s">
        <v>676</v>
      </c>
      <c r="C434" s="1" t="s">
        <v>825</v>
      </c>
      <c r="D434" s="1" t="s">
        <v>9</v>
      </c>
      <c r="E434" s="1" t="s">
        <v>10</v>
      </c>
      <c r="F434" s="3" t="str">
        <f>HYPERLINK("https://drive.google.com/file/d/1RYNHWeZch6xW2PXOHkOP1MPCGM4LTCUP/view?usp=drivesdk", "81.7 MB")</f>
        <v>81.7 MB</v>
      </c>
    </row>
    <row r="435">
      <c r="A435" s="1" t="s">
        <v>826</v>
      </c>
      <c r="B435" s="1" t="s">
        <v>676</v>
      </c>
      <c r="C435" s="1" t="s">
        <v>827</v>
      </c>
      <c r="D435" s="1" t="s">
        <v>9</v>
      </c>
      <c r="E435" s="1" t="s">
        <v>10</v>
      </c>
      <c r="F435" s="3" t="str">
        <f>HYPERLINK("https://drive.google.com/file/d/1GEeJ4uC76HAsZe7UOQ3n1JI__XqLRiEa/view?usp=drivesdk", "38.4 MB")</f>
        <v>38.4 MB</v>
      </c>
    </row>
    <row r="436">
      <c r="A436" s="1" t="s">
        <v>828</v>
      </c>
      <c r="B436" s="1" t="s">
        <v>676</v>
      </c>
      <c r="C436" s="1" t="s">
        <v>829</v>
      </c>
      <c r="D436" s="1" t="s">
        <v>9</v>
      </c>
      <c r="E436" s="1" t="s">
        <v>10</v>
      </c>
      <c r="F436" s="3" t="str">
        <f>HYPERLINK("https://drive.google.com/file/d/1YSqyRWIS7fpMJluU29IpcjF2GFDeIpWU/view?usp=drivesdk", "60.7 MB")</f>
        <v>60.7 MB</v>
      </c>
    </row>
    <row r="437">
      <c r="A437" s="1" t="s">
        <v>830</v>
      </c>
      <c r="B437" s="1" t="s">
        <v>676</v>
      </c>
      <c r="C437" s="1" t="s">
        <v>831</v>
      </c>
      <c r="D437" s="1" t="s">
        <v>9</v>
      </c>
      <c r="E437" s="1" t="s">
        <v>16</v>
      </c>
      <c r="F437" s="3" t="str">
        <f>HYPERLINK("https://drive.google.com/file/d/1GWEgfUMYDGu2ArSWn4Kcd7amZjeRIHuE/view?usp=drivesdk", "74.2 MB")</f>
        <v>74.2 MB</v>
      </c>
    </row>
    <row r="438">
      <c r="A438" s="1" t="s">
        <v>832</v>
      </c>
      <c r="B438" s="1" t="s">
        <v>676</v>
      </c>
      <c r="C438" s="1" t="s">
        <v>833</v>
      </c>
      <c r="D438" s="1" t="s">
        <v>9</v>
      </c>
      <c r="E438" s="1" t="s">
        <v>16</v>
      </c>
      <c r="F438" s="3" t="str">
        <f>HYPERLINK("https://drive.google.com/file/d/1qG4xVxy5JmRxavluVXmOBnIZdTmhBoOe/view?usp=drivesdk", "38.6 MB")</f>
        <v>38.6 MB</v>
      </c>
    </row>
    <row r="439">
      <c r="A439" s="1" t="s">
        <v>834</v>
      </c>
      <c r="B439" s="1" t="s">
        <v>676</v>
      </c>
      <c r="C439" s="1" t="s">
        <v>835</v>
      </c>
      <c r="D439" s="1" t="s">
        <v>9</v>
      </c>
      <c r="E439" s="1" t="s">
        <v>41</v>
      </c>
      <c r="F439" s="3" t="str">
        <f>HYPERLINK("https://drive.google.com/file/d/19oQMFfbIJdMibgBp_OoHDW2F-jG-588s/view?usp=drivesdk", "48.9 MB")</f>
        <v>48.9 MB</v>
      </c>
    </row>
    <row r="440">
      <c r="A440" s="1" t="s">
        <v>836</v>
      </c>
      <c r="B440" s="1" t="s">
        <v>676</v>
      </c>
      <c r="C440" s="1" t="s">
        <v>837</v>
      </c>
      <c r="D440" s="1" t="s">
        <v>9</v>
      </c>
      <c r="E440" s="1" t="s">
        <v>10</v>
      </c>
      <c r="F440" s="3" t="str">
        <f>HYPERLINK("https://drive.google.com/file/d/1WEhmjkKr0WojaRUIDoOH0bgGDkYnFPky/view?usp=drivesdk", "85.6 MB")</f>
        <v>85.6 MB</v>
      </c>
    </row>
    <row r="441">
      <c r="A441" s="1" t="s">
        <v>838</v>
      </c>
      <c r="B441" s="1" t="s">
        <v>676</v>
      </c>
      <c r="C441" s="1" t="s">
        <v>839</v>
      </c>
      <c r="D441" s="1" t="s">
        <v>9</v>
      </c>
      <c r="E441" s="1" t="s">
        <v>10</v>
      </c>
      <c r="F441" s="3" t="str">
        <f>HYPERLINK("https://drive.google.com/file/d/1PHpOLNCVNCH-DE1Tol7UDObFAmot3cZU/view?usp=drivesdk", "52.8 MB")</f>
        <v>52.8 MB</v>
      </c>
    </row>
    <row r="442">
      <c r="A442" s="1" t="s">
        <v>840</v>
      </c>
      <c r="B442" s="1" t="s">
        <v>676</v>
      </c>
      <c r="C442" s="1" t="s">
        <v>841</v>
      </c>
      <c r="D442" s="1" t="s">
        <v>9</v>
      </c>
      <c r="E442" s="1" t="s">
        <v>93</v>
      </c>
      <c r="F442" s="3" t="str">
        <f>HYPERLINK("https://drive.google.com/file/d/1B1rEyjy5db-kdrnV2v0M1yB7qQcjrAw3/view?usp=drivesdk", "64.6 MB")</f>
        <v>64.6 MB</v>
      </c>
    </row>
    <row r="443">
      <c r="A443" s="1" t="s">
        <v>842</v>
      </c>
      <c r="B443" s="1" t="s">
        <v>676</v>
      </c>
      <c r="C443" s="1" t="s">
        <v>843</v>
      </c>
      <c r="D443" s="1" t="s">
        <v>9</v>
      </c>
      <c r="E443" s="1" t="s">
        <v>93</v>
      </c>
      <c r="F443" s="3" t="str">
        <f>HYPERLINK("https://drive.google.com/file/d/1MY5E83N7jIy_--fQBGRbopPd7NS1chAR/view?usp=drivesdk", "40.6 MB")</f>
        <v>40.6 MB</v>
      </c>
    </row>
    <row r="444">
      <c r="A444" s="1" t="s">
        <v>844</v>
      </c>
      <c r="B444" s="1" t="s">
        <v>676</v>
      </c>
      <c r="C444" s="1" t="s">
        <v>845</v>
      </c>
      <c r="D444" s="1" t="s">
        <v>9</v>
      </c>
      <c r="E444" s="1" t="s">
        <v>16</v>
      </c>
      <c r="F444" s="3" t="str">
        <f>HYPERLINK("https://drive.google.com/file/d/12B057uLdmBU6jWotAu99tj53CNcdnTD-/view?usp=drivesdk", "76.7 MB")</f>
        <v>76.7 MB</v>
      </c>
    </row>
    <row r="445">
      <c r="A445" s="1" t="s">
        <v>846</v>
      </c>
      <c r="B445" s="1" t="s">
        <v>676</v>
      </c>
      <c r="C445" s="1" t="s">
        <v>847</v>
      </c>
      <c r="D445" s="1" t="s">
        <v>9</v>
      </c>
      <c r="E445" s="1" t="s">
        <v>41</v>
      </c>
      <c r="F445" s="3" t="str">
        <f>HYPERLINK("https://drive.google.com/file/d/1IypYg7_0J9N6i0QfU_OMjvN-T_YF4d06/view?usp=drivesdk", "71.6 MB")</f>
        <v>71.6 MB</v>
      </c>
    </row>
    <row r="446">
      <c r="A446" s="1" t="s">
        <v>848</v>
      </c>
      <c r="B446" s="1" t="s">
        <v>676</v>
      </c>
      <c r="C446" s="1" t="s">
        <v>849</v>
      </c>
      <c r="D446" s="1" t="s">
        <v>9</v>
      </c>
      <c r="E446" s="1" t="s">
        <v>10</v>
      </c>
      <c r="F446" s="3" t="str">
        <f>HYPERLINK("https://drive.google.com/file/d/1OCRgVQsCEaga4eWuf3hewy395fwTk9TW/view?usp=drivesdk", "63.2 MB")</f>
        <v>63.2 MB</v>
      </c>
    </row>
    <row r="447">
      <c r="A447" s="1" t="s">
        <v>850</v>
      </c>
      <c r="B447" s="1" t="s">
        <v>676</v>
      </c>
      <c r="C447" s="1" t="s">
        <v>851</v>
      </c>
      <c r="D447" s="1" t="s">
        <v>9</v>
      </c>
      <c r="E447" s="1" t="s">
        <v>10</v>
      </c>
      <c r="F447" s="3" t="str">
        <f>HYPERLINK("https://drive.google.com/file/d/1P2ke063W0Ko5soBMbRZ1YCQaEtSCL-h4/view?usp=drivesdk", "59 MB")</f>
        <v>59 MB</v>
      </c>
    </row>
    <row r="448">
      <c r="A448" s="1" t="s">
        <v>852</v>
      </c>
      <c r="B448" s="1" t="s">
        <v>676</v>
      </c>
      <c r="C448" s="1" t="s">
        <v>853</v>
      </c>
      <c r="D448" s="1" t="s">
        <v>9</v>
      </c>
      <c r="E448" s="1" t="s">
        <v>10</v>
      </c>
      <c r="F448" s="3" t="str">
        <f>HYPERLINK("https://drive.google.com/file/d/1Z5XAGPam-1KcNkJCc-UufZQ-QX6QeWnf/view?usp=drivesdk", "86.8 MB")</f>
        <v>86.8 MB</v>
      </c>
    </row>
    <row r="449">
      <c r="A449" s="1" t="s">
        <v>854</v>
      </c>
      <c r="B449" s="1" t="s">
        <v>676</v>
      </c>
      <c r="C449" s="1" t="s">
        <v>855</v>
      </c>
      <c r="D449" s="1" t="s">
        <v>9</v>
      </c>
      <c r="E449" s="1" t="s">
        <v>10</v>
      </c>
      <c r="F449" s="3" t="str">
        <f>HYPERLINK("https://drive.google.com/file/d/18Vhf0cIeQlVzmxmqu9q_l4zWhoBNKRLK/view?usp=drivesdk", "66.8 MB")</f>
        <v>66.8 MB</v>
      </c>
    </row>
    <row r="450">
      <c r="A450" s="1" t="s">
        <v>856</v>
      </c>
      <c r="B450" s="1" t="s">
        <v>676</v>
      </c>
      <c r="C450" s="1" t="s">
        <v>857</v>
      </c>
      <c r="D450" s="1" t="s">
        <v>9</v>
      </c>
      <c r="E450" s="1" t="s">
        <v>10</v>
      </c>
      <c r="F450" s="3" t="str">
        <f>HYPERLINK("https://drive.google.com/file/d/1Jv5aHi-JmXgAwq-WvyFh4qsxh1K7Wgnf/view?usp=drivesdk", "77.4 MB")</f>
        <v>77.4 MB</v>
      </c>
    </row>
  </sheetData>
  <hyperlinks>
    <hyperlink r:id="rId1" ref="A2"/>
    <hyperlink r:id="rId2" ref="A360"/>
  </hyperlinks>
  <drawing r:id="rId3"/>
</worksheet>
</file>