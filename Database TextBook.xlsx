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user\Desktop\"/>
    </mc:Choice>
  </mc:AlternateContent>
  <xr:revisionPtr revIDLastSave="0" documentId="13_ncr:1_{4077FF24-AD7D-4ADC-B36B-792A5750B740}" xr6:coauthVersionLast="47" xr6:coauthVersionMax="47" xr10:uidLastSave="{00000000-0000-0000-0000-000000000000}"/>
  <bookViews>
    <workbookView xWindow="-108" yWindow="-108" windowWidth="23256" windowHeight="12456" activeTab="5" xr2:uid="{65662681-425C-46C3-9067-3FE31729CF54}"/>
  </bookViews>
  <sheets>
    <sheet name="Semua Tingkatan" sheetId="1" r:id="rId1"/>
    <sheet name="Tingkatan 1" sheetId="11" r:id="rId2"/>
    <sheet name="Tingkatan 2" sheetId="10" r:id="rId3"/>
    <sheet name="Tingkatan 3" sheetId="9" r:id="rId4"/>
    <sheet name="Tingkatan 4" sheetId="8" r:id="rId5"/>
    <sheet name="Tingkatan 5" sheetId="7" r:id="rId6"/>
  </sheets>
  <definedNames>
    <definedName name="ExternalData_1" localSheetId="2" hidden="1">'Tingkatan 2'!$A$1:$L$289</definedName>
    <definedName name="ExternalData_1" localSheetId="4" hidden="1">'Tingkatan 4'!$A$1:$L$289</definedName>
    <definedName name="ExternalData_1" localSheetId="5" hidden="1">'Tingkatan 5'!$A$1:$L$289</definedName>
    <definedName name="ExternalData_2" localSheetId="1" hidden="1">'Tingkatan 1'!$A$1:$L$289</definedName>
    <definedName name="ExternalData_2" localSheetId="3" hidden="1">'Tingkatan 3'!$A$1:$L$289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6" i="1" l="1"/>
  <c r="H206" i="1" a="1"/>
  <c r="H206" i="1" s="1"/>
  <c r="I206" i="1" a="1"/>
  <c r="I206" i="1" s="1"/>
  <c r="J206" i="1" a="1"/>
  <c r="J206" i="1" s="1"/>
  <c r="K206" i="1"/>
  <c r="B187" i="1"/>
  <c r="D187" i="1" s="1" a="1"/>
  <c r="D187" i="1" s="1"/>
  <c r="F187" i="1"/>
  <c r="H187" i="1" a="1"/>
  <c r="H187" i="1" s="1"/>
  <c r="I187" i="1" a="1"/>
  <c r="I187" i="1"/>
  <c r="J187" i="1" a="1"/>
  <c r="J187" i="1" s="1"/>
  <c r="K187" i="1"/>
  <c r="B188" i="1"/>
  <c r="C188" i="1"/>
  <c r="D188" i="1" a="1"/>
  <c r="D188" i="1" s="1"/>
  <c r="F188" i="1"/>
  <c r="H188" i="1" a="1"/>
  <c r="H188" i="1" s="1"/>
  <c r="I188" i="1" a="1"/>
  <c r="I188" i="1" s="1"/>
  <c r="J188" i="1" a="1"/>
  <c r="J188" i="1"/>
  <c r="K188" i="1"/>
  <c r="B189" i="1"/>
  <c r="C189" i="1"/>
  <c r="F189" i="1"/>
  <c r="H189" i="1" a="1"/>
  <c r="H189" i="1"/>
  <c r="I189" i="1" a="1"/>
  <c r="I189" i="1"/>
  <c r="K189" i="1"/>
  <c r="B190" i="1"/>
  <c r="C190" i="1"/>
  <c r="D190" i="1" s="1" a="1"/>
  <c r="D190" i="1" s="1"/>
  <c r="F190" i="1"/>
  <c r="H190" i="1" a="1"/>
  <c r="H190" i="1" s="1"/>
  <c r="I190" i="1" a="1"/>
  <c r="I190" i="1" s="1"/>
  <c r="J190" i="1" a="1"/>
  <c r="J190" i="1" s="1"/>
  <c r="K190" i="1"/>
  <c r="B191" i="1"/>
  <c r="F191" i="1"/>
  <c r="H191" i="1" a="1"/>
  <c r="H191" i="1"/>
  <c r="I191" i="1" a="1"/>
  <c r="I191" i="1" s="1"/>
  <c r="K191" i="1"/>
  <c r="B192" i="1"/>
  <c r="F192" i="1"/>
  <c r="H192" i="1" a="1"/>
  <c r="H192" i="1" s="1"/>
  <c r="I192" i="1" a="1"/>
  <c r="I192" i="1" s="1"/>
  <c r="J192" i="1" a="1"/>
  <c r="J192" i="1" s="1"/>
  <c r="K192" i="1"/>
  <c r="B193" i="1"/>
  <c r="F193" i="1"/>
  <c r="H193" i="1" a="1"/>
  <c r="H193" i="1"/>
  <c r="I193" i="1" a="1"/>
  <c r="I193" i="1" s="1"/>
  <c r="K193" i="1"/>
  <c r="B194" i="1"/>
  <c r="F194" i="1"/>
  <c r="H194" i="1" a="1"/>
  <c r="H194" i="1" s="1"/>
  <c r="I194" i="1" a="1"/>
  <c r="I194" i="1" s="1"/>
  <c r="J194" i="1" a="1"/>
  <c r="J194" i="1"/>
  <c r="K194" i="1"/>
  <c r="B195" i="1"/>
  <c r="F195" i="1"/>
  <c r="H195" i="1" a="1"/>
  <c r="H195" i="1"/>
  <c r="I195" i="1" a="1"/>
  <c r="I195" i="1" s="1"/>
  <c r="K195" i="1"/>
  <c r="B196" i="1"/>
  <c r="F196" i="1"/>
  <c r="H196" i="1" a="1"/>
  <c r="H196" i="1" s="1"/>
  <c r="I196" i="1" a="1"/>
  <c r="I196" i="1" s="1"/>
  <c r="J196" i="1" a="1"/>
  <c r="J196" i="1" s="1"/>
  <c r="K196" i="1"/>
  <c r="B197" i="1"/>
  <c r="F197" i="1"/>
  <c r="H197" i="1" a="1"/>
  <c r="H197" i="1" s="1"/>
  <c r="I197" i="1" a="1"/>
  <c r="I197" i="1" s="1"/>
  <c r="K197" i="1"/>
  <c r="B198" i="1"/>
  <c r="F198" i="1"/>
  <c r="H198" i="1" a="1"/>
  <c r="H198" i="1" s="1"/>
  <c r="I198" i="1" a="1"/>
  <c r="I198" i="1" s="1"/>
  <c r="J198" i="1" a="1"/>
  <c r="J198" i="1" s="1"/>
  <c r="K198" i="1"/>
  <c r="B199" i="1"/>
  <c r="F199" i="1"/>
  <c r="H199" i="1" a="1"/>
  <c r="H199" i="1" s="1"/>
  <c r="I199" i="1" a="1"/>
  <c r="I199" i="1"/>
  <c r="J199" i="1" a="1"/>
  <c r="J199" i="1" s="1"/>
  <c r="K199" i="1"/>
  <c r="B200" i="1"/>
  <c r="F200" i="1"/>
  <c r="H200" i="1" a="1"/>
  <c r="H200" i="1" s="1"/>
  <c r="I200" i="1" a="1"/>
  <c r="I200" i="1" s="1"/>
  <c r="J200" i="1" a="1"/>
  <c r="J200" i="1" s="1"/>
  <c r="K200" i="1"/>
  <c r="B201" i="1"/>
  <c r="F201" i="1"/>
  <c r="H201" i="1" a="1"/>
  <c r="H201" i="1" s="1"/>
  <c r="I201" i="1" a="1"/>
  <c r="I201" i="1" s="1"/>
  <c r="J201" i="1" a="1"/>
  <c r="J201" i="1" s="1"/>
  <c r="K201" i="1"/>
  <c r="B202" i="1"/>
  <c r="F202" i="1"/>
  <c r="H202" i="1" a="1"/>
  <c r="H202" i="1" s="1"/>
  <c r="I202" i="1" a="1"/>
  <c r="I202" i="1" s="1"/>
  <c r="J202" i="1" a="1"/>
  <c r="J202" i="1" s="1"/>
  <c r="K202" i="1"/>
  <c r="B203" i="1"/>
  <c r="F203" i="1"/>
  <c r="H203" i="1" a="1"/>
  <c r="H203" i="1"/>
  <c r="I203" i="1" a="1"/>
  <c r="I203" i="1" s="1"/>
  <c r="K203" i="1"/>
  <c r="B204" i="1"/>
  <c r="F204" i="1"/>
  <c r="H204" i="1" a="1"/>
  <c r="H204" i="1" s="1"/>
  <c r="I204" i="1" a="1"/>
  <c r="I204" i="1" s="1"/>
  <c r="J204" i="1" a="1"/>
  <c r="J204" i="1" s="1"/>
  <c r="K204" i="1"/>
  <c r="B205" i="1"/>
  <c r="F205" i="1"/>
  <c r="H205" i="1" a="1"/>
  <c r="H205" i="1" s="1"/>
  <c r="I205" i="1" a="1"/>
  <c r="I205" i="1"/>
  <c r="J205" i="1" a="1"/>
  <c r="J205" i="1" s="1"/>
  <c r="K205" i="1"/>
  <c r="B207" i="1"/>
  <c r="F207" i="1"/>
  <c r="H207" i="1" a="1"/>
  <c r="H207" i="1" s="1"/>
  <c r="I207" i="1" a="1"/>
  <c r="I207" i="1" s="1"/>
  <c r="J207" i="1" a="1"/>
  <c r="J207" i="1" s="1"/>
  <c r="K207" i="1"/>
  <c r="B208" i="1"/>
  <c r="F208" i="1"/>
  <c r="H208" i="1" a="1"/>
  <c r="H208" i="1" s="1"/>
  <c r="I208" i="1" a="1"/>
  <c r="I208" i="1" s="1"/>
  <c r="J208" i="1" a="1"/>
  <c r="J208" i="1" s="1"/>
  <c r="K208" i="1"/>
  <c r="B209" i="1"/>
  <c r="F209" i="1"/>
  <c r="H209" i="1" a="1"/>
  <c r="H209" i="1" s="1"/>
  <c r="I209" i="1" a="1"/>
  <c r="I209" i="1" s="1"/>
  <c r="J209" i="1" a="1"/>
  <c r="J209" i="1" s="1"/>
  <c r="K209" i="1"/>
  <c r="B210" i="1"/>
  <c r="F210" i="1"/>
  <c r="H210" i="1" a="1"/>
  <c r="H210" i="1" s="1"/>
  <c r="I210" i="1" a="1"/>
  <c r="I210" i="1" s="1"/>
  <c r="J210" i="1" a="1"/>
  <c r="J210" i="1" s="1"/>
  <c r="K210" i="1"/>
  <c r="B211" i="1"/>
  <c r="F211" i="1"/>
  <c r="H211" i="1" a="1"/>
  <c r="H211" i="1" s="1"/>
  <c r="I211" i="1" a="1"/>
  <c r="I211" i="1" s="1"/>
  <c r="J211" i="1" a="1"/>
  <c r="J211" i="1" s="1"/>
  <c r="K211" i="1"/>
  <c r="B212" i="1"/>
  <c r="F212" i="1"/>
  <c r="H212" i="1" a="1"/>
  <c r="H212" i="1"/>
  <c r="I212" i="1" a="1"/>
  <c r="I212" i="1" s="1"/>
  <c r="J212" i="1" a="1"/>
  <c r="J212" i="1" s="1"/>
  <c r="K212" i="1"/>
  <c r="B213" i="1"/>
  <c r="F213" i="1"/>
  <c r="H213" i="1" a="1"/>
  <c r="H213" i="1" s="1"/>
  <c r="I213" i="1" a="1"/>
  <c r="I213" i="1" s="1"/>
  <c r="J213" i="1" a="1"/>
  <c r="J213" i="1" s="1"/>
  <c r="K213" i="1"/>
  <c r="B214" i="1"/>
  <c r="F214" i="1"/>
  <c r="H214" i="1" a="1"/>
  <c r="H214" i="1" s="1"/>
  <c r="I214" i="1" a="1"/>
  <c r="I214" i="1" s="1"/>
  <c r="J214" i="1" a="1"/>
  <c r="J214" i="1" s="1"/>
  <c r="K214" i="1"/>
  <c r="B215" i="1"/>
  <c r="F215" i="1"/>
  <c r="H215" i="1" a="1"/>
  <c r="H215" i="1" s="1"/>
  <c r="I215" i="1" a="1"/>
  <c r="I215" i="1" s="1"/>
  <c r="J215" i="1" a="1"/>
  <c r="J215" i="1" s="1"/>
  <c r="K215" i="1"/>
  <c r="B216" i="1"/>
  <c r="F216" i="1"/>
  <c r="H216" i="1" a="1"/>
  <c r="H216" i="1"/>
  <c r="I216" i="1" a="1"/>
  <c r="I216" i="1" s="1"/>
  <c r="J216" i="1" a="1"/>
  <c r="J216" i="1" s="1"/>
  <c r="K216" i="1"/>
  <c r="B217" i="1"/>
  <c r="F217" i="1"/>
  <c r="H217" i="1" a="1"/>
  <c r="H217" i="1" s="1"/>
  <c r="I217" i="1" a="1"/>
  <c r="I217" i="1" s="1"/>
  <c r="J217" i="1" a="1"/>
  <c r="J217" i="1" s="1"/>
  <c r="K217" i="1"/>
  <c r="B218" i="1"/>
  <c r="F218" i="1"/>
  <c r="H218" i="1" a="1"/>
  <c r="H218" i="1"/>
  <c r="I218" i="1" a="1"/>
  <c r="I218" i="1" s="1"/>
  <c r="J218" i="1" a="1"/>
  <c r="J218" i="1" s="1"/>
  <c r="K218" i="1"/>
  <c r="B219" i="1"/>
  <c r="F219" i="1"/>
  <c r="H219" i="1" a="1"/>
  <c r="H219" i="1" s="1"/>
  <c r="I219" i="1" a="1"/>
  <c r="I219" i="1" s="1"/>
  <c r="J219" i="1" a="1"/>
  <c r="J219" i="1" s="1"/>
  <c r="K219" i="1"/>
  <c r="B220" i="1"/>
  <c r="F220" i="1"/>
  <c r="H220" i="1" a="1"/>
  <c r="H220" i="1"/>
  <c r="I220" i="1" a="1"/>
  <c r="I220" i="1" s="1"/>
  <c r="J220" i="1" a="1"/>
  <c r="J220" i="1" s="1"/>
  <c r="K220" i="1"/>
  <c r="B221" i="1"/>
  <c r="F221" i="1"/>
  <c r="H221" i="1" a="1"/>
  <c r="H221" i="1" s="1"/>
  <c r="I221" i="1" a="1"/>
  <c r="I221" i="1" s="1"/>
  <c r="J221" i="1" a="1"/>
  <c r="J221" i="1" s="1"/>
  <c r="K221" i="1"/>
  <c r="B222" i="1"/>
  <c r="F222" i="1"/>
  <c r="H222" i="1" a="1"/>
  <c r="H222" i="1"/>
  <c r="I222" i="1" a="1"/>
  <c r="I222" i="1" s="1"/>
  <c r="J222" i="1" a="1"/>
  <c r="J222" i="1" s="1"/>
  <c r="K222" i="1"/>
  <c r="B223" i="1"/>
  <c r="F223" i="1"/>
  <c r="H223" i="1" a="1"/>
  <c r="H223" i="1" s="1"/>
  <c r="I223" i="1" a="1"/>
  <c r="I223" i="1" s="1"/>
  <c r="J223" i="1" a="1"/>
  <c r="J223" i="1" s="1"/>
  <c r="K223" i="1"/>
  <c r="B224" i="1"/>
  <c r="F224" i="1"/>
  <c r="H224" i="1" a="1"/>
  <c r="H224" i="1" s="1"/>
  <c r="I224" i="1" a="1"/>
  <c r="I224" i="1" s="1"/>
  <c r="J224" i="1" a="1"/>
  <c r="J224" i="1" s="1"/>
  <c r="K224" i="1"/>
  <c r="B225" i="1"/>
  <c r="F225" i="1"/>
  <c r="H225" i="1" a="1"/>
  <c r="H225" i="1" s="1"/>
  <c r="I225" i="1" a="1"/>
  <c r="I225" i="1" s="1"/>
  <c r="J225" i="1" a="1"/>
  <c r="J225" i="1" s="1"/>
  <c r="K225" i="1"/>
  <c r="B226" i="1"/>
  <c r="F226" i="1"/>
  <c r="H226" i="1" a="1"/>
  <c r="H226" i="1" s="1"/>
  <c r="I226" i="1" a="1"/>
  <c r="I226" i="1"/>
  <c r="J226" i="1" a="1"/>
  <c r="J226" i="1" s="1"/>
  <c r="K226" i="1"/>
  <c r="B227" i="1"/>
  <c r="F227" i="1"/>
  <c r="H227" i="1" a="1"/>
  <c r="H227" i="1" s="1"/>
  <c r="I227" i="1" a="1"/>
  <c r="I227" i="1" s="1"/>
  <c r="J227" i="1" a="1"/>
  <c r="J227" i="1"/>
  <c r="K227" i="1"/>
  <c r="B228" i="1"/>
  <c r="F228" i="1"/>
  <c r="H228" i="1" a="1"/>
  <c r="H228" i="1"/>
  <c r="I228" i="1" a="1"/>
  <c r="I228" i="1" s="1"/>
  <c r="J228" i="1" a="1"/>
  <c r="J228" i="1" s="1"/>
  <c r="K228" i="1"/>
  <c r="B229" i="1"/>
  <c r="F229" i="1"/>
  <c r="H229" i="1" a="1"/>
  <c r="H229" i="1" s="1"/>
  <c r="I229" i="1" a="1"/>
  <c r="I229" i="1" s="1"/>
  <c r="J229" i="1" a="1"/>
  <c r="J229" i="1" s="1"/>
  <c r="K229" i="1"/>
  <c r="B230" i="1"/>
  <c r="F230" i="1"/>
  <c r="H230" i="1" a="1"/>
  <c r="H230" i="1" s="1"/>
  <c r="I230" i="1" a="1"/>
  <c r="I230" i="1" s="1"/>
  <c r="J230" i="1" a="1"/>
  <c r="J230" i="1" s="1"/>
  <c r="K230" i="1"/>
  <c r="B231" i="1"/>
  <c r="F231" i="1"/>
  <c r="H231" i="1" a="1"/>
  <c r="H231" i="1" s="1"/>
  <c r="I231" i="1" a="1"/>
  <c r="I231" i="1" s="1"/>
  <c r="J231" i="1" a="1"/>
  <c r="J231" i="1" s="1"/>
  <c r="K231" i="1"/>
  <c r="B232" i="1"/>
  <c r="F232" i="1"/>
  <c r="H232" i="1" a="1"/>
  <c r="H232" i="1" s="1"/>
  <c r="I232" i="1" a="1"/>
  <c r="I232" i="1" s="1"/>
  <c r="J232" i="1" a="1"/>
  <c r="J232" i="1" s="1"/>
  <c r="K232" i="1"/>
  <c r="B233" i="1"/>
  <c r="F233" i="1"/>
  <c r="H233" i="1" a="1"/>
  <c r="H233" i="1" s="1"/>
  <c r="I233" i="1" a="1"/>
  <c r="I233" i="1" s="1"/>
  <c r="J233" i="1" a="1"/>
  <c r="J233" i="1" s="1"/>
  <c r="K233" i="1"/>
  <c r="B234" i="1"/>
  <c r="F234" i="1"/>
  <c r="H234" i="1" a="1"/>
  <c r="H234" i="1" s="1"/>
  <c r="I234" i="1" a="1"/>
  <c r="I234" i="1"/>
  <c r="J234" i="1" a="1"/>
  <c r="J234" i="1" s="1"/>
  <c r="K234" i="1"/>
  <c r="B235" i="1"/>
  <c r="F235" i="1"/>
  <c r="H235" i="1" a="1"/>
  <c r="H235" i="1" s="1"/>
  <c r="I235" i="1" a="1"/>
  <c r="I235" i="1" s="1"/>
  <c r="J235" i="1" a="1"/>
  <c r="J235" i="1"/>
  <c r="K235" i="1"/>
  <c r="B236" i="1"/>
  <c r="F236" i="1"/>
  <c r="H236" i="1" a="1"/>
  <c r="H236" i="1" s="1"/>
  <c r="I236" i="1" a="1"/>
  <c r="I236" i="1" s="1"/>
  <c r="J236" i="1" a="1"/>
  <c r="J236" i="1" s="1"/>
  <c r="K236" i="1"/>
  <c r="B237" i="1"/>
  <c r="F237" i="1"/>
  <c r="H237" i="1" a="1"/>
  <c r="H237" i="1" s="1"/>
  <c r="I237" i="1" a="1"/>
  <c r="I237" i="1" s="1"/>
  <c r="J237" i="1" a="1"/>
  <c r="J237" i="1" s="1"/>
  <c r="K237" i="1"/>
  <c r="B238" i="1"/>
  <c r="F238" i="1"/>
  <c r="H238" i="1" a="1"/>
  <c r="H238" i="1" s="1"/>
  <c r="I238" i="1" a="1"/>
  <c r="I238" i="1" s="1"/>
  <c r="J238" i="1" a="1"/>
  <c r="J238" i="1" s="1"/>
  <c r="K238" i="1"/>
  <c r="B239" i="1"/>
  <c r="F239" i="1"/>
  <c r="H239" i="1" a="1"/>
  <c r="H239" i="1" s="1"/>
  <c r="I239" i="1" a="1"/>
  <c r="I239" i="1"/>
  <c r="J239" i="1" a="1"/>
  <c r="J239" i="1" s="1"/>
  <c r="K239" i="1"/>
  <c r="B240" i="1"/>
  <c r="F240" i="1"/>
  <c r="H240" i="1" a="1"/>
  <c r="H240" i="1" s="1"/>
  <c r="I240" i="1" a="1"/>
  <c r="I240" i="1" s="1"/>
  <c r="J240" i="1" a="1"/>
  <c r="J240" i="1" s="1"/>
  <c r="K240" i="1"/>
  <c r="B241" i="1"/>
  <c r="F241" i="1"/>
  <c r="H241" i="1" a="1"/>
  <c r="H241" i="1" s="1"/>
  <c r="I241" i="1" a="1"/>
  <c r="I241" i="1" s="1"/>
  <c r="J241" i="1" a="1"/>
  <c r="J241" i="1" s="1"/>
  <c r="K241" i="1"/>
  <c r="B242" i="1"/>
  <c r="F242" i="1"/>
  <c r="H242" i="1" a="1"/>
  <c r="H242" i="1" s="1"/>
  <c r="I242" i="1" a="1"/>
  <c r="I242" i="1"/>
  <c r="J242" i="1" a="1"/>
  <c r="J242" i="1" s="1"/>
  <c r="K242" i="1"/>
  <c r="B243" i="1"/>
  <c r="F243" i="1"/>
  <c r="H243" i="1" a="1"/>
  <c r="H243" i="1" s="1"/>
  <c r="I243" i="1" a="1"/>
  <c r="I243" i="1" s="1"/>
  <c r="J243" i="1" a="1"/>
  <c r="J243" i="1"/>
  <c r="K243" i="1"/>
  <c r="B244" i="1"/>
  <c r="F244" i="1"/>
  <c r="H244" i="1" a="1"/>
  <c r="H244" i="1"/>
  <c r="I244" i="1" a="1"/>
  <c r="I244" i="1" s="1"/>
  <c r="J244" i="1" a="1"/>
  <c r="J244" i="1" s="1"/>
  <c r="K244" i="1"/>
  <c r="B245" i="1"/>
  <c r="J245" i="1" s="1" a="1"/>
  <c r="J245" i="1" s="1"/>
  <c r="F245" i="1"/>
  <c r="H245" i="1" a="1"/>
  <c r="H245" i="1" s="1"/>
  <c r="I245" i="1" a="1"/>
  <c r="I245" i="1" s="1"/>
  <c r="K245" i="1"/>
  <c r="B246" i="1"/>
  <c r="F246" i="1"/>
  <c r="H246" i="1" a="1"/>
  <c r="H246" i="1" s="1"/>
  <c r="I246" i="1" a="1"/>
  <c r="I246" i="1" s="1"/>
  <c r="J246" i="1" a="1"/>
  <c r="J246" i="1" s="1"/>
  <c r="K246" i="1"/>
  <c r="B247" i="1"/>
  <c r="J247" i="1" s="1" a="1"/>
  <c r="J247" i="1" s="1"/>
  <c r="F247" i="1"/>
  <c r="H247" i="1" a="1"/>
  <c r="H247" i="1" s="1"/>
  <c r="I247" i="1" a="1"/>
  <c r="I247" i="1" s="1"/>
  <c r="K247" i="1"/>
  <c r="B248" i="1"/>
  <c r="F248" i="1"/>
  <c r="H248" i="1" a="1"/>
  <c r="H248" i="1"/>
  <c r="I248" i="1" a="1"/>
  <c r="I248" i="1" s="1"/>
  <c r="J248" i="1" a="1"/>
  <c r="J248" i="1" s="1"/>
  <c r="K248" i="1"/>
  <c r="B249" i="1"/>
  <c r="J249" i="1" s="1" a="1"/>
  <c r="J249" i="1" s="1"/>
  <c r="F249" i="1"/>
  <c r="H249" i="1" a="1"/>
  <c r="H249" i="1" s="1"/>
  <c r="I249" i="1" a="1"/>
  <c r="I249" i="1" s="1"/>
  <c r="K249" i="1"/>
  <c r="B250" i="1"/>
  <c r="F250" i="1"/>
  <c r="H250" i="1" a="1"/>
  <c r="H250" i="1" s="1"/>
  <c r="I250" i="1" a="1"/>
  <c r="I250" i="1" s="1"/>
  <c r="J250" i="1" a="1"/>
  <c r="J250" i="1" s="1"/>
  <c r="K250" i="1"/>
  <c r="B251" i="1"/>
  <c r="J251" i="1" s="1" a="1"/>
  <c r="J251" i="1" s="1"/>
  <c r="F251" i="1"/>
  <c r="H251" i="1" a="1"/>
  <c r="H251" i="1" s="1"/>
  <c r="I251" i="1" a="1"/>
  <c r="I251" i="1" s="1"/>
  <c r="K251" i="1"/>
  <c r="B252" i="1"/>
  <c r="F252" i="1"/>
  <c r="H252" i="1" a="1"/>
  <c r="H252" i="1" s="1"/>
  <c r="I252" i="1" a="1"/>
  <c r="I252" i="1" s="1"/>
  <c r="J252" i="1" a="1"/>
  <c r="J252" i="1" s="1"/>
  <c r="K252" i="1"/>
  <c r="B253" i="1"/>
  <c r="J253" i="1" s="1" a="1"/>
  <c r="J253" i="1" s="1"/>
  <c r="F253" i="1"/>
  <c r="H253" i="1" a="1"/>
  <c r="H253" i="1" s="1"/>
  <c r="I253" i="1" a="1"/>
  <c r="I253" i="1" s="1"/>
  <c r="K253" i="1"/>
  <c r="B254" i="1"/>
  <c r="F254" i="1"/>
  <c r="H254" i="1" a="1"/>
  <c r="H254" i="1" s="1"/>
  <c r="I254" i="1" a="1"/>
  <c r="I254" i="1" s="1"/>
  <c r="J254" i="1" a="1"/>
  <c r="J254" i="1" s="1"/>
  <c r="K254" i="1"/>
  <c r="B255" i="1"/>
  <c r="J255" i="1" s="1" a="1"/>
  <c r="J255" i="1" s="1"/>
  <c r="F255" i="1"/>
  <c r="H255" i="1" a="1"/>
  <c r="H255" i="1" s="1"/>
  <c r="I255" i="1" a="1"/>
  <c r="I255" i="1" s="1"/>
  <c r="K255" i="1"/>
  <c r="B256" i="1"/>
  <c r="F256" i="1"/>
  <c r="H256" i="1" a="1"/>
  <c r="H256" i="1" s="1"/>
  <c r="I256" i="1" a="1"/>
  <c r="I256" i="1" s="1"/>
  <c r="J256" i="1" a="1"/>
  <c r="J256" i="1" s="1"/>
  <c r="K256" i="1"/>
  <c r="B257" i="1"/>
  <c r="J257" i="1" s="1" a="1"/>
  <c r="J257" i="1" s="1"/>
  <c r="F257" i="1"/>
  <c r="H257" i="1" a="1"/>
  <c r="H257" i="1" s="1"/>
  <c r="I257" i="1" a="1"/>
  <c r="I257" i="1" s="1"/>
  <c r="K257" i="1"/>
  <c r="B258" i="1"/>
  <c r="F258" i="1"/>
  <c r="H258" i="1" a="1"/>
  <c r="H258" i="1" s="1"/>
  <c r="I258" i="1" a="1"/>
  <c r="I258" i="1" s="1"/>
  <c r="J258" i="1" a="1"/>
  <c r="J258" i="1" s="1"/>
  <c r="K258" i="1"/>
  <c r="B259" i="1"/>
  <c r="J259" i="1" s="1" a="1"/>
  <c r="J259" i="1" s="1"/>
  <c r="F259" i="1"/>
  <c r="H259" i="1" a="1"/>
  <c r="H259" i="1" s="1"/>
  <c r="I259" i="1" a="1"/>
  <c r="I259" i="1" s="1"/>
  <c r="K259" i="1"/>
  <c r="B260" i="1"/>
  <c r="F260" i="1"/>
  <c r="H260" i="1" a="1"/>
  <c r="H260" i="1" s="1"/>
  <c r="I260" i="1" a="1"/>
  <c r="I260" i="1" s="1"/>
  <c r="J260" i="1" a="1"/>
  <c r="J260" i="1" s="1"/>
  <c r="K260" i="1"/>
  <c r="B261" i="1"/>
  <c r="J261" i="1" s="1" a="1"/>
  <c r="J261" i="1" s="1"/>
  <c r="F261" i="1"/>
  <c r="H261" i="1" a="1"/>
  <c r="H261" i="1" s="1"/>
  <c r="I261" i="1" a="1"/>
  <c r="I261" i="1" s="1"/>
  <c r="K261" i="1"/>
  <c r="B262" i="1"/>
  <c r="F262" i="1"/>
  <c r="H262" i="1" a="1"/>
  <c r="H262" i="1" s="1"/>
  <c r="I262" i="1" a="1"/>
  <c r="I262" i="1" s="1"/>
  <c r="J262" i="1" a="1"/>
  <c r="J262" i="1" s="1"/>
  <c r="K262" i="1"/>
  <c r="B263" i="1"/>
  <c r="J263" i="1" s="1" a="1"/>
  <c r="J263" i="1" s="1"/>
  <c r="F263" i="1"/>
  <c r="H263" i="1" a="1"/>
  <c r="H263" i="1" s="1"/>
  <c r="I263" i="1" a="1"/>
  <c r="I263" i="1" s="1"/>
  <c r="K263" i="1"/>
  <c r="B264" i="1"/>
  <c r="F264" i="1"/>
  <c r="H264" i="1" a="1"/>
  <c r="H264" i="1" s="1"/>
  <c r="I264" i="1" a="1"/>
  <c r="I264" i="1" s="1"/>
  <c r="J264" i="1" a="1"/>
  <c r="J264" i="1" s="1"/>
  <c r="K264" i="1"/>
  <c r="B265" i="1"/>
  <c r="J265" i="1" s="1" a="1"/>
  <c r="J265" i="1" s="1"/>
  <c r="F265" i="1"/>
  <c r="H265" i="1" a="1"/>
  <c r="H265" i="1" s="1"/>
  <c r="I265" i="1" a="1"/>
  <c r="I265" i="1" s="1"/>
  <c r="K265" i="1"/>
  <c r="B266" i="1"/>
  <c r="F266" i="1"/>
  <c r="H266" i="1" a="1"/>
  <c r="H266" i="1" s="1"/>
  <c r="I266" i="1" a="1"/>
  <c r="I266" i="1" s="1"/>
  <c r="J266" i="1" a="1"/>
  <c r="J266" i="1" s="1"/>
  <c r="K266" i="1"/>
  <c r="B267" i="1"/>
  <c r="J267" i="1" s="1" a="1"/>
  <c r="J267" i="1" s="1"/>
  <c r="F267" i="1"/>
  <c r="H267" i="1" a="1"/>
  <c r="H267" i="1" s="1"/>
  <c r="I267" i="1" a="1"/>
  <c r="I267" i="1" s="1"/>
  <c r="K267" i="1"/>
  <c r="B268" i="1"/>
  <c r="F268" i="1"/>
  <c r="H268" i="1" a="1"/>
  <c r="H268" i="1" s="1"/>
  <c r="I268" i="1" a="1"/>
  <c r="I268" i="1" s="1"/>
  <c r="J268" i="1" a="1"/>
  <c r="J268" i="1" s="1"/>
  <c r="K268" i="1"/>
  <c r="B269" i="1"/>
  <c r="F269" i="1"/>
  <c r="H269" i="1" a="1"/>
  <c r="H269" i="1" s="1"/>
  <c r="I269" i="1" a="1"/>
  <c r="I269" i="1" s="1"/>
  <c r="J269" i="1" a="1"/>
  <c r="J269" i="1" s="1"/>
  <c r="K269" i="1"/>
  <c r="B270" i="1"/>
  <c r="F270" i="1"/>
  <c r="H270" i="1" a="1"/>
  <c r="H270" i="1" s="1"/>
  <c r="I270" i="1" a="1"/>
  <c r="I270" i="1" s="1"/>
  <c r="J270" i="1" a="1"/>
  <c r="J270" i="1" s="1"/>
  <c r="K270" i="1"/>
  <c r="B271" i="1"/>
  <c r="F271" i="1"/>
  <c r="H271" i="1" a="1"/>
  <c r="H271" i="1" s="1"/>
  <c r="I271" i="1" a="1"/>
  <c r="I271" i="1" s="1"/>
  <c r="J271" i="1" a="1"/>
  <c r="J271" i="1" s="1"/>
  <c r="K271" i="1"/>
  <c r="B272" i="1"/>
  <c r="F272" i="1"/>
  <c r="H272" i="1" a="1"/>
  <c r="H272" i="1" s="1"/>
  <c r="I272" i="1" a="1"/>
  <c r="I272" i="1" s="1"/>
  <c r="J272" i="1" a="1"/>
  <c r="J272" i="1" s="1"/>
  <c r="K272" i="1"/>
  <c r="B273" i="1"/>
  <c r="F273" i="1"/>
  <c r="H273" i="1" a="1"/>
  <c r="H273" i="1" s="1"/>
  <c r="I273" i="1" a="1"/>
  <c r="I273" i="1" s="1"/>
  <c r="J273" i="1" a="1"/>
  <c r="J273" i="1" s="1"/>
  <c r="K273" i="1"/>
  <c r="B274" i="1"/>
  <c r="F274" i="1"/>
  <c r="H274" i="1" a="1"/>
  <c r="H274" i="1" s="1"/>
  <c r="I274" i="1" a="1"/>
  <c r="I274" i="1" s="1"/>
  <c r="J274" i="1" a="1"/>
  <c r="J274" i="1" s="1"/>
  <c r="K274" i="1"/>
  <c r="B275" i="1"/>
  <c r="F275" i="1"/>
  <c r="H275" i="1" a="1"/>
  <c r="H275" i="1" s="1"/>
  <c r="I275" i="1" a="1"/>
  <c r="I275" i="1" s="1"/>
  <c r="J275" i="1" a="1"/>
  <c r="J275" i="1" s="1"/>
  <c r="K275" i="1"/>
  <c r="B276" i="1"/>
  <c r="F276" i="1"/>
  <c r="H276" i="1" a="1"/>
  <c r="H276" i="1" s="1"/>
  <c r="I276" i="1" a="1"/>
  <c r="I276" i="1" s="1"/>
  <c r="J276" i="1" a="1"/>
  <c r="J276" i="1" s="1"/>
  <c r="K276" i="1"/>
  <c r="B277" i="1"/>
  <c r="F277" i="1"/>
  <c r="H277" i="1" a="1"/>
  <c r="H277" i="1" s="1"/>
  <c r="I277" i="1" a="1"/>
  <c r="I277" i="1" s="1"/>
  <c r="J277" i="1" a="1"/>
  <c r="J277" i="1" s="1"/>
  <c r="K277" i="1"/>
  <c r="B278" i="1"/>
  <c r="F278" i="1"/>
  <c r="H278" i="1" a="1"/>
  <c r="H278" i="1" s="1"/>
  <c r="I278" i="1" a="1"/>
  <c r="I278" i="1" s="1"/>
  <c r="J278" i="1" a="1"/>
  <c r="J278" i="1" s="1"/>
  <c r="K278" i="1"/>
  <c r="B279" i="1"/>
  <c r="F279" i="1"/>
  <c r="H279" i="1" a="1"/>
  <c r="H279" i="1" s="1"/>
  <c r="I279" i="1" a="1"/>
  <c r="I279" i="1" s="1"/>
  <c r="J279" i="1" a="1"/>
  <c r="J279" i="1" s="1"/>
  <c r="K279" i="1"/>
  <c r="B280" i="1"/>
  <c r="F280" i="1"/>
  <c r="H280" i="1" a="1"/>
  <c r="H280" i="1" s="1"/>
  <c r="I280" i="1" a="1"/>
  <c r="I280" i="1" s="1"/>
  <c r="J280" i="1" a="1"/>
  <c r="J280" i="1" s="1"/>
  <c r="K280" i="1"/>
  <c r="B281" i="1"/>
  <c r="F281" i="1"/>
  <c r="H281" i="1" a="1"/>
  <c r="H281" i="1" s="1"/>
  <c r="I281" i="1" a="1"/>
  <c r="I281" i="1" s="1"/>
  <c r="J281" i="1" a="1"/>
  <c r="J281" i="1" s="1"/>
  <c r="K281" i="1"/>
  <c r="C60" i="1"/>
  <c r="C61" i="1" s="1"/>
  <c r="C62" i="1" s="1"/>
  <c r="C63" i="1" s="1"/>
  <c r="C64" i="1" s="1"/>
  <c r="C65" i="1" s="1"/>
  <c r="C3" i="1"/>
  <c r="C4" i="1" s="1"/>
  <c r="C5" i="1" s="1"/>
  <c r="C6" i="1" s="1"/>
  <c r="C7" i="1" s="1"/>
  <c r="C91" i="1"/>
  <c r="C92" i="1" s="1"/>
  <c r="C93" i="1" s="1"/>
  <c r="C94" i="1" s="1"/>
  <c r="C95" i="1" s="1"/>
  <c r="C96" i="1" s="1"/>
  <c r="C97" i="1" s="1"/>
  <c r="D36" i="1" a="1"/>
  <c r="D36" i="1" s="1"/>
  <c r="D59" i="1" a="1"/>
  <c r="D59" i="1" s="1"/>
  <c r="B144" i="1"/>
  <c r="J144" i="1" s="1" a="1"/>
  <c r="J144" i="1" s="1"/>
  <c r="B145" i="1"/>
  <c r="B149" i="1"/>
  <c r="B150" i="1"/>
  <c r="B153" i="1"/>
  <c r="B154" i="1"/>
  <c r="J154" i="1" s="1" a="1"/>
  <c r="J154" i="1" s="1"/>
  <c r="B158" i="1"/>
  <c r="J158" i="1" s="1" a="1"/>
  <c r="J158" i="1" s="1"/>
  <c r="B164" i="1"/>
  <c r="J164" i="1" s="1" a="1"/>
  <c r="J164" i="1" s="1"/>
  <c r="B166" i="1"/>
  <c r="J166" i="1" s="1" a="1"/>
  <c r="J166" i="1" s="1"/>
  <c r="B167" i="1"/>
  <c r="J167" i="1" s="1" a="1"/>
  <c r="J167" i="1" s="1"/>
  <c r="B146" i="1"/>
  <c r="J146" i="1" s="1" a="1"/>
  <c r="J146" i="1" s="1"/>
  <c r="B147" i="1"/>
  <c r="B148" i="1"/>
  <c r="J148" i="1" s="1" a="1"/>
  <c r="J148" i="1" s="1"/>
  <c r="B151" i="1"/>
  <c r="J151" i="1" s="1" a="1"/>
  <c r="J151" i="1" s="1"/>
  <c r="B152" i="1"/>
  <c r="J152" i="1" s="1" a="1"/>
  <c r="J152" i="1" s="1"/>
  <c r="B165" i="1"/>
  <c r="J165" i="1" s="1" a="1"/>
  <c r="J165" i="1" s="1"/>
  <c r="B155" i="1"/>
  <c r="J155" i="1" s="1" a="1"/>
  <c r="J155" i="1" s="1"/>
  <c r="B157" i="1"/>
  <c r="J157" i="1" s="1" a="1"/>
  <c r="J157" i="1" s="1"/>
  <c r="B156" i="1"/>
  <c r="J156" i="1" s="1" a="1"/>
  <c r="J156" i="1" s="1"/>
  <c r="B159" i="1"/>
  <c r="B160" i="1"/>
  <c r="B161" i="1"/>
  <c r="J161" i="1" s="1" a="1"/>
  <c r="J161" i="1" s="1"/>
  <c r="B162" i="1"/>
  <c r="J162" i="1" s="1" a="1"/>
  <c r="J162" i="1" s="1"/>
  <c r="B163" i="1"/>
  <c r="J163" i="1" s="1" a="1"/>
  <c r="J163" i="1" s="1"/>
  <c r="B168" i="1"/>
  <c r="J168" i="1" s="1" a="1"/>
  <c r="J168" i="1" s="1"/>
  <c r="B169" i="1"/>
  <c r="J169" i="1" s="1" a="1"/>
  <c r="J169" i="1" s="1"/>
  <c r="B173" i="1"/>
  <c r="J173" i="1" s="1" a="1"/>
  <c r="J173" i="1" s="1"/>
  <c r="B170" i="1"/>
  <c r="B171" i="1"/>
  <c r="B172" i="1"/>
  <c r="J172" i="1" s="1" a="1"/>
  <c r="J172" i="1" s="1"/>
  <c r="B174" i="1"/>
  <c r="J174" i="1" s="1" a="1"/>
  <c r="J174" i="1" s="1"/>
  <c r="B175" i="1"/>
  <c r="J175" i="1" s="1" a="1"/>
  <c r="J175" i="1" s="1"/>
  <c r="B133" i="1"/>
  <c r="J133" i="1" s="1" a="1"/>
  <c r="J133" i="1" s="1"/>
  <c r="B134" i="1"/>
  <c r="J134" i="1" s="1" a="1"/>
  <c r="J134" i="1" s="1"/>
  <c r="B135" i="1"/>
  <c r="J135" i="1" s="1" a="1"/>
  <c r="J135" i="1" s="1"/>
  <c r="B136" i="1"/>
  <c r="F174" i="1"/>
  <c r="F175" i="1"/>
  <c r="F133" i="1"/>
  <c r="F134" i="1"/>
  <c r="F135" i="1"/>
  <c r="F136" i="1"/>
  <c r="H174" i="1" a="1"/>
  <c r="H174" i="1" s="1"/>
  <c r="H175" i="1" a="1"/>
  <c r="H175" i="1" s="1"/>
  <c r="H133" i="1" a="1"/>
  <c r="H133" i="1" s="1"/>
  <c r="H134" i="1" a="1"/>
  <c r="H134" i="1" s="1"/>
  <c r="H135" i="1" a="1"/>
  <c r="H135" i="1" s="1"/>
  <c r="H136" i="1" a="1"/>
  <c r="H136" i="1" s="1"/>
  <c r="I174" i="1" a="1"/>
  <c r="I174" i="1" s="1"/>
  <c r="I175" i="1" a="1"/>
  <c r="I175" i="1" s="1"/>
  <c r="I133" i="1" a="1"/>
  <c r="I133" i="1" s="1"/>
  <c r="I134" i="1" a="1"/>
  <c r="I134" i="1" s="1"/>
  <c r="I135" i="1" a="1"/>
  <c r="I135" i="1" s="1"/>
  <c r="I136" i="1" a="1"/>
  <c r="I136" i="1" s="1"/>
  <c r="J136" i="1" a="1"/>
  <c r="J136" i="1" s="1"/>
  <c r="K174" i="1"/>
  <c r="K175" i="1"/>
  <c r="K133" i="1"/>
  <c r="K134" i="1"/>
  <c r="K135" i="1"/>
  <c r="K136" i="1"/>
  <c r="F172" i="1"/>
  <c r="H172" i="1" a="1"/>
  <c r="H172" i="1" s="1"/>
  <c r="I172" i="1" a="1"/>
  <c r="I172" i="1" s="1"/>
  <c r="K172" i="1"/>
  <c r="F170" i="1"/>
  <c r="B137" i="1"/>
  <c r="J137" i="1" s="1" a="1"/>
  <c r="J137" i="1" s="1"/>
  <c r="B138" i="1"/>
  <c r="B139" i="1"/>
  <c r="B140" i="1"/>
  <c r="J140" i="1" s="1" a="1"/>
  <c r="J140" i="1" s="1"/>
  <c r="B141" i="1"/>
  <c r="J141" i="1" s="1" a="1"/>
  <c r="J141" i="1" s="1"/>
  <c r="B142" i="1"/>
  <c r="B143" i="1"/>
  <c r="J143" i="1" s="1" a="1"/>
  <c r="J143" i="1" s="1"/>
  <c r="B95" i="1"/>
  <c r="J95" i="1" s="1" a="1"/>
  <c r="J95" i="1" s="1"/>
  <c r="B99" i="1"/>
  <c r="B121" i="1"/>
  <c r="B91" i="1"/>
  <c r="J91" i="1" s="1" a="1"/>
  <c r="J91" i="1" s="1"/>
  <c r="B122" i="1"/>
  <c r="J122" i="1" s="1" a="1"/>
  <c r="J122" i="1" s="1"/>
  <c r="B176" i="1"/>
  <c r="B177" i="1"/>
  <c r="J177" i="1" s="1" a="1"/>
  <c r="J177" i="1" s="1"/>
  <c r="B178" i="1"/>
  <c r="J178" i="1" s="1" a="1"/>
  <c r="J178" i="1" s="1"/>
  <c r="B125" i="1"/>
  <c r="J125" i="1" s="1" a="1"/>
  <c r="J125" i="1" s="1"/>
  <c r="B94" i="1"/>
  <c r="B96" i="1"/>
  <c r="B98" i="1"/>
  <c r="J98" i="1" s="1" a="1"/>
  <c r="J98" i="1" s="1"/>
  <c r="B105" i="1"/>
  <c r="J105" i="1" s="1" a="1"/>
  <c r="J105" i="1" s="1"/>
  <c r="B113" i="1"/>
  <c r="J113" i="1" s="1" a="1"/>
  <c r="J113" i="1" s="1"/>
  <c r="B114" i="1"/>
  <c r="J114" i="1" s="1" a="1"/>
  <c r="J114" i="1" s="1"/>
  <c r="B132" i="1"/>
  <c r="J132" i="1" s="1" a="1"/>
  <c r="J132" i="1" s="1"/>
  <c r="B131" i="1"/>
  <c r="J131" i="1" s="1" a="1"/>
  <c r="J131" i="1" s="1"/>
  <c r="B129" i="1"/>
  <c r="B127" i="1"/>
  <c r="B130" i="1"/>
  <c r="B128" i="1"/>
  <c r="J128" i="1" s="1" a="1"/>
  <c r="J128" i="1" s="1"/>
  <c r="B126" i="1"/>
  <c r="B179" i="1"/>
  <c r="J179" i="1" s="1" a="1"/>
  <c r="J179" i="1" s="1"/>
  <c r="B180" i="1"/>
  <c r="J180" i="1" s="1" a="1"/>
  <c r="J180" i="1" s="1"/>
  <c r="B181" i="1"/>
  <c r="J181" i="1" s="1" a="1"/>
  <c r="J181" i="1" s="1"/>
  <c r="B182" i="1"/>
  <c r="B183" i="1"/>
  <c r="B184" i="1"/>
  <c r="J184" i="1" s="1" a="1"/>
  <c r="J184" i="1" s="1"/>
  <c r="B185" i="1"/>
  <c r="J185" i="1" s="1" a="1"/>
  <c r="J185" i="1" s="1"/>
  <c r="B186" i="1"/>
  <c r="H10" i="1" a="1"/>
  <c r="H10" i="1" s="1"/>
  <c r="H18" i="1" a="1"/>
  <c r="H18" i="1" s="1"/>
  <c r="H12" i="1" a="1"/>
  <c r="H12" i="1" s="1"/>
  <c r="H13" i="1" a="1"/>
  <c r="H13" i="1" s="1"/>
  <c r="H20" i="1" a="1"/>
  <c r="H20" i="1" s="1"/>
  <c r="H21" i="1" a="1"/>
  <c r="H21" i="1" s="1"/>
  <c r="H11" i="1" a="1"/>
  <c r="H11" i="1" s="1"/>
  <c r="H22" i="1" a="1"/>
  <c r="H22" i="1" s="1"/>
  <c r="H19" i="1" a="1"/>
  <c r="H19" i="1" s="1"/>
  <c r="H2" i="1" a="1"/>
  <c r="H2" i="1" s="1"/>
  <c r="H17" i="1" a="1"/>
  <c r="H17" i="1" s="1"/>
  <c r="H14" i="1" a="1"/>
  <c r="H14" i="1" s="1"/>
  <c r="H15" i="1" a="1"/>
  <c r="H15" i="1" s="1"/>
  <c r="H16" i="1" a="1"/>
  <c r="H16" i="1" s="1"/>
  <c r="H3" i="1" a="1"/>
  <c r="H3" i="1" s="1"/>
  <c r="H5" i="1" a="1"/>
  <c r="H5" i="1" s="1"/>
  <c r="H4" i="1" a="1"/>
  <c r="H4" i="1" s="1"/>
  <c r="H6" i="1" a="1"/>
  <c r="H6" i="1" s="1"/>
  <c r="H8" i="1" a="1"/>
  <c r="H8" i="1" s="1"/>
  <c r="H9" i="1" a="1"/>
  <c r="H9" i="1" s="1"/>
  <c r="H23" i="1" a="1"/>
  <c r="H23" i="1" s="1"/>
  <c r="H26" i="1" a="1"/>
  <c r="H26" i="1" s="1"/>
  <c r="H24" i="1" a="1"/>
  <c r="H24" i="1" s="1"/>
  <c r="H25" i="1" a="1"/>
  <c r="H25" i="1" s="1"/>
  <c r="H27" i="1" a="1"/>
  <c r="H27" i="1" s="1"/>
  <c r="H28" i="1" a="1"/>
  <c r="H28" i="1" s="1"/>
  <c r="H29" i="1" a="1"/>
  <c r="H29" i="1" s="1"/>
  <c r="H30" i="1" a="1"/>
  <c r="H30" i="1" s="1"/>
  <c r="H36" i="1" a="1"/>
  <c r="H36" i="1" s="1"/>
  <c r="H45" i="1" a="1"/>
  <c r="H45" i="1" s="1"/>
  <c r="H39" i="1" a="1"/>
  <c r="H39" i="1" s="1"/>
  <c r="H40" i="1" a="1"/>
  <c r="H40" i="1" s="1"/>
  <c r="H47" i="1" a="1"/>
  <c r="H47" i="1" s="1"/>
  <c r="H48" i="1" a="1"/>
  <c r="H48" i="1" s="1"/>
  <c r="H38" i="1" a="1"/>
  <c r="H38" i="1" s="1"/>
  <c r="H49" i="1" a="1"/>
  <c r="H49" i="1" s="1"/>
  <c r="H46" i="1" a="1"/>
  <c r="H46" i="1" s="1"/>
  <c r="H31" i="1" a="1"/>
  <c r="H31" i="1" s="1"/>
  <c r="H44" i="1" a="1"/>
  <c r="H44" i="1" s="1"/>
  <c r="H41" i="1" a="1"/>
  <c r="H41" i="1" s="1"/>
  <c r="H42" i="1" a="1"/>
  <c r="H42" i="1" s="1"/>
  <c r="H43" i="1" a="1"/>
  <c r="H43" i="1" s="1"/>
  <c r="H32" i="1" a="1"/>
  <c r="H32" i="1" s="1"/>
  <c r="H33" i="1" a="1"/>
  <c r="H33" i="1" s="1"/>
  <c r="H34" i="1" a="1"/>
  <c r="H34" i="1" s="1"/>
  <c r="H35" i="1" a="1"/>
  <c r="H35" i="1" s="1"/>
  <c r="H37" i="1" a="1"/>
  <c r="H37" i="1" s="1"/>
  <c r="H50" i="1" a="1"/>
  <c r="H50" i="1" s="1"/>
  <c r="H51" i="1" a="1"/>
  <c r="H51" i="1" s="1"/>
  <c r="H54" i="1" a="1"/>
  <c r="H54" i="1" s="1"/>
  <c r="H52" i="1" a="1"/>
  <c r="H52" i="1" s="1"/>
  <c r="H53" i="1" a="1"/>
  <c r="H53" i="1" s="1"/>
  <c r="H55" i="1" a="1"/>
  <c r="H55" i="1" s="1"/>
  <c r="H56" i="1" a="1"/>
  <c r="H56" i="1" s="1"/>
  <c r="H57" i="1" a="1"/>
  <c r="H57" i="1" s="1"/>
  <c r="H58" i="1" a="1"/>
  <c r="H58" i="1" s="1"/>
  <c r="H65" i="1" a="1"/>
  <c r="H65" i="1" s="1"/>
  <c r="H68" i="1" a="1"/>
  <c r="H68" i="1" s="1"/>
  <c r="H70" i="1" a="1"/>
  <c r="H70" i="1" s="1"/>
  <c r="H71" i="1" a="1"/>
  <c r="H71" i="1" s="1"/>
  <c r="H78" i="1" a="1"/>
  <c r="H78" i="1" s="1"/>
  <c r="H79" i="1" a="1"/>
  <c r="H79" i="1" s="1"/>
  <c r="H69" i="1" a="1"/>
  <c r="H69" i="1" s="1"/>
  <c r="H80" i="1" a="1"/>
  <c r="H80" i="1" s="1"/>
  <c r="H77" i="1" a="1"/>
  <c r="H77" i="1" s="1"/>
  <c r="H59" i="1" a="1"/>
  <c r="H59" i="1" s="1"/>
  <c r="H76" i="1" a="1"/>
  <c r="H76" i="1" s="1"/>
  <c r="H72" i="1" a="1"/>
  <c r="H72" i="1" s="1"/>
  <c r="H73" i="1" a="1"/>
  <c r="H73" i="1" s="1"/>
  <c r="H75" i="1" a="1"/>
  <c r="H75" i="1" s="1"/>
  <c r="H74" i="1" a="1"/>
  <c r="H74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6" i="1" a="1"/>
  <c r="H66" i="1" s="1"/>
  <c r="H67" i="1" a="1"/>
  <c r="H67" i="1" s="1"/>
  <c r="H81" i="1" a="1"/>
  <c r="H81" i="1" s="1"/>
  <c r="H82" i="1" a="1"/>
  <c r="H82" i="1" s="1"/>
  <c r="H85" i="1" a="1"/>
  <c r="H85" i="1" s="1"/>
  <c r="H83" i="1" a="1"/>
  <c r="H83" i="1" s="1"/>
  <c r="H84" i="1" a="1"/>
  <c r="H84" i="1" s="1"/>
  <c r="H86" i="1" a="1"/>
  <c r="H86" i="1" s="1"/>
  <c r="H87" i="1" a="1"/>
  <c r="H87" i="1" s="1"/>
  <c r="H88" i="1" a="1"/>
  <c r="H88" i="1" s="1"/>
  <c r="H89" i="1" a="1"/>
  <c r="H89" i="1" s="1"/>
  <c r="H97" i="1" a="1"/>
  <c r="H97" i="1" s="1"/>
  <c r="H104" i="1" a="1"/>
  <c r="H104" i="1" s="1"/>
  <c r="H107" i="1" a="1"/>
  <c r="H107" i="1" s="1"/>
  <c r="H109" i="1" a="1"/>
  <c r="H109" i="1" s="1"/>
  <c r="H108" i="1" a="1"/>
  <c r="H108" i="1" s="1"/>
  <c r="H90" i="1" a="1"/>
  <c r="H90" i="1" s="1"/>
  <c r="H120" i="1" a="1"/>
  <c r="H120" i="1" s="1"/>
  <c r="H123" i="1" a="1"/>
  <c r="H123" i="1" s="1"/>
  <c r="H124" i="1" a="1"/>
  <c r="H124" i="1" s="1"/>
  <c r="H111" i="1" a="1"/>
  <c r="H111" i="1" s="1"/>
  <c r="H118" i="1" a="1"/>
  <c r="H118" i="1" s="1"/>
  <c r="H100" i="1" a="1"/>
  <c r="H100" i="1" s="1"/>
  <c r="H101" i="1" a="1"/>
  <c r="H101" i="1" s="1"/>
  <c r="H106" i="1" a="1"/>
  <c r="H106" i="1" s="1"/>
  <c r="H102" i="1" a="1"/>
  <c r="H102" i="1" s="1"/>
  <c r="H103" i="1" a="1"/>
  <c r="H103" i="1" s="1"/>
  <c r="H117" i="1" a="1"/>
  <c r="H117" i="1" s="1"/>
  <c r="H112" i="1" a="1"/>
  <c r="H112" i="1" s="1"/>
  <c r="H115" i="1" a="1"/>
  <c r="H115" i="1" s="1"/>
  <c r="H119" i="1" a="1"/>
  <c r="H119" i="1" s="1"/>
  <c r="H92" i="1" a="1"/>
  <c r="H92" i="1" s="1"/>
  <c r="H93" i="1" a="1"/>
  <c r="H93" i="1" s="1"/>
  <c r="H116" i="1" a="1"/>
  <c r="H116" i="1" s="1"/>
  <c r="H110" i="1" a="1"/>
  <c r="H110" i="1" s="1"/>
  <c r="H95" i="1" a="1"/>
  <c r="H95" i="1" s="1"/>
  <c r="H99" i="1" a="1"/>
  <c r="H99" i="1" s="1"/>
  <c r="H121" i="1" a="1"/>
  <c r="H121" i="1" s="1"/>
  <c r="H91" i="1" a="1"/>
  <c r="H91" i="1" s="1"/>
  <c r="H122" i="1" a="1"/>
  <c r="H122" i="1" s="1"/>
  <c r="H176" i="1" a="1"/>
  <c r="H176" i="1" s="1"/>
  <c r="H177" i="1" a="1"/>
  <c r="H177" i="1" s="1"/>
  <c r="H178" i="1" a="1"/>
  <c r="H178" i="1" s="1"/>
  <c r="H125" i="1" a="1"/>
  <c r="H125" i="1" s="1"/>
  <c r="H94" i="1" a="1"/>
  <c r="H94" i="1" s="1"/>
  <c r="H96" i="1" a="1"/>
  <c r="H96" i="1" s="1"/>
  <c r="H98" i="1" a="1"/>
  <c r="H98" i="1" s="1"/>
  <c r="H105" i="1" a="1"/>
  <c r="H105" i="1" s="1"/>
  <c r="H113" i="1" a="1"/>
  <c r="H113" i="1" s="1"/>
  <c r="H114" i="1" a="1"/>
  <c r="H114" i="1" s="1"/>
  <c r="H132" i="1" a="1"/>
  <c r="H132" i="1" s="1"/>
  <c r="H131" i="1" a="1"/>
  <c r="H131" i="1" s="1"/>
  <c r="H129" i="1" a="1"/>
  <c r="H129" i="1" s="1"/>
  <c r="H127" i="1" a="1"/>
  <c r="H127" i="1" s="1"/>
  <c r="H130" i="1" a="1"/>
  <c r="H130" i="1" s="1"/>
  <c r="H128" i="1" a="1"/>
  <c r="H128" i="1" s="1"/>
  <c r="H126" i="1" a="1"/>
  <c r="H126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9" i="1" a="1"/>
  <c r="H149" i="1" s="1"/>
  <c r="H150" i="1" a="1"/>
  <c r="H150" i="1" s="1"/>
  <c r="H153" i="1" a="1"/>
  <c r="H153" i="1" s="1"/>
  <c r="H154" i="1" a="1"/>
  <c r="H154" i="1" s="1"/>
  <c r="H158" i="1" a="1"/>
  <c r="H158" i="1" s="1"/>
  <c r="H164" i="1" a="1"/>
  <c r="H164" i="1" s="1"/>
  <c r="H166" i="1" a="1"/>
  <c r="H166" i="1" s="1"/>
  <c r="H167" i="1" a="1"/>
  <c r="H167" i="1" s="1"/>
  <c r="H146" i="1" a="1"/>
  <c r="H146" i="1" s="1"/>
  <c r="H147" i="1" a="1"/>
  <c r="H147" i="1" s="1"/>
  <c r="H148" i="1" a="1"/>
  <c r="H148" i="1" s="1"/>
  <c r="H151" i="1" a="1"/>
  <c r="H151" i="1" s="1"/>
  <c r="H152" i="1" a="1"/>
  <c r="H152" i="1" s="1"/>
  <c r="H165" i="1" a="1"/>
  <c r="H165" i="1" s="1"/>
  <c r="H155" i="1" a="1"/>
  <c r="H155" i="1" s="1"/>
  <c r="H157" i="1" a="1"/>
  <c r="H157" i="1" s="1"/>
  <c r="H156" i="1" a="1"/>
  <c r="H156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8" i="1" a="1"/>
  <c r="H168" i="1" s="1"/>
  <c r="H169" i="1" a="1"/>
  <c r="H169" i="1" s="1"/>
  <c r="H173" i="1" a="1"/>
  <c r="H173" i="1" s="1"/>
  <c r="H170" i="1" a="1"/>
  <c r="H170" i="1" s="1"/>
  <c r="H171" i="1" a="1"/>
  <c r="H171" i="1" s="1"/>
  <c r="H7" i="1" a="1"/>
  <c r="H7" i="1" s="1"/>
  <c r="B112" i="1"/>
  <c r="J112" i="1" s="1" a="1"/>
  <c r="J112" i="1" s="1"/>
  <c r="B115" i="1"/>
  <c r="J115" i="1" s="1" a="1"/>
  <c r="J115" i="1" s="1"/>
  <c r="B119" i="1"/>
  <c r="J119" i="1" s="1" a="1"/>
  <c r="J119" i="1" s="1"/>
  <c r="B92" i="1"/>
  <c r="J92" i="1" s="1" a="1"/>
  <c r="J92" i="1" s="1"/>
  <c r="B93" i="1"/>
  <c r="J93" i="1" s="1" a="1"/>
  <c r="J93" i="1" s="1"/>
  <c r="B116" i="1"/>
  <c r="J116" i="1" s="1" a="1"/>
  <c r="J116" i="1" s="1"/>
  <c r="B110" i="1"/>
  <c r="J110" i="1" s="1" a="1"/>
  <c r="J110" i="1" s="1"/>
  <c r="B106" i="1"/>
  <c r="J106" i="1" s="1" a="1"/>
  <c r="J106" i="1" s="1"/>
  <c r="B102" i="1"/>
  <c r="J102" i="1" s="1" a="1"/>
  <c r="J102" i="1" s="1"/>
  <c r="B103" i="1"/>
  <c r="J103" i="1" s="1" a="1"/>
  <c r="J103" i="1" s="1"/>
  <c r="B117" i="1"/>
  <c r="J117" i="1" s="1" a="1"/>
  <c r="J117" i="1" s="1"/>
  <c r="F106" i="1"/>
  <c r="F102" i="1"/>
  <c r="F103" i="1"/>
  <c r="F117" i="1"/>
  <c r="F112" i="1"/>
  <c r="F115" i="1"/>
  <c r="F119" i="1"/>
  <c r="F92" i="1"/>
  <c r="F93" i="1"/>
  <c r="F116" i="1"/>
  <c r="F110" i="1"/>
  <c r="F95" i="1"/>
  <c r="F99" i="1"/>
  <c r="F121" i="1"/>
  <c r="F91" i="1"/>
  <c r="F122" i="1"/>
  <c r="F176" i="1"/>
  <c r="F177" i="1"/>
  <c r="F178" i="1"/>
  <c r="F125" i="1"/>
  <c r="F94" i="1"/>
  <c r="F96" i="1"/>
  <c r="F98" i="1"/>
  <c r="F105" i="1"/>
  <c r="F113" i="1"/>
  <c r="F114" i="1"/>
  <c r="F132" i="1"/>
  <c r="F131" i="1"/>
  <c r="F129" i="1"/>
  <c r="F127" i="1"/>
  <c r="F130" i="1"/>
  <c r="F128" i="1"/>
  <c r="F126" i="1"/>
  <c r="F179" i="1"/>
  <c r="F180" i="1"/>
  <c r="F181" i="1"/>
  <c r="F182" i="1"/>
  <c r="F183" i="1"/>
  <c r="F184" i="1"/>
  <c r="F185" i="1"/>
  <c r="F186" i="1"/>
  <c r="F137" i="1"/>
  <c r="F138" i="1"/>
  <c r="F139" i="1"/>
  <c r="F140" i="1"/>
  <c r="F141" i="1"/>
  <c r="F142" i="1"/>
  <c r="F143" i="1"/>
  <c r="F144" i="1"/>
  <c r="F145" i="1"/>
  <c r="F149" i="1"/>
  <c r="F150" i="1"/>
  <c r="F153" i="1"/>
  <c r="F154" i="1"/>
  <c r="F158" i="1"/>
  <c r="F164" i="1"/>
  <c r="F166" i="1"/>
  <c r="F167" i="1"/>
  <c r="F146" i="1"/>
  <c r="F147" i="1"/>
  <c r="F148" i="1"/>
  <c r="F151" i="1"/>
  <c r="F152" i="1"/>
  <c r="F165" i="1"/>
  <c r="F155" i="1"/>
  <c r="F157" i="1"/>
  <c r="F156" i="1"/>
  <c r="F159" i="1"/>
  <c r="F160" i="1"/>
  <c r="F161" i="1"/>
  <c r="F162" i="1"/>
  <c r="F163" i="1"/>
  <c r="F168" i="1"/>
  <c r="F169" i="1"/>
  <c r="F173" i="1"/>
  <c r="F171" i="1"/>
  <c r="I106" i="1" a="1"/>
  <c r="I106" i="1" s="1"/>
  <c r="I102" i="1" a="1"/>
  <c r="I102" i="1" s="1"/>
  <c r="I103" i="1" a="1"/>
  <c r="I103" i="1" s="1"/>
  <c r="I117" i="1" a="1"/>
  <c r="I117" i="1" s="1"/>
  <c r="I112" i="1" a="1"/>
  <c r="I112" i="1" s="1"/>
  <c r="I115" i="1" a="1"/>
  <c r="I115" i="1" s="1"/>
  <c r="I119" i="1" a="1"/>
  <c r="I119" i="1" s="1"/>
  <c r="I92" i="1" a="1"/>
  <c r="I92" i="1" s="1"/>
  <c r="I93" i="1" a="1"/>
  <c r="I93" i="1" s="1"/>
  <c r="I116" i="1" a="1"/>
  <c r="I116" i="1" s="1"/>
  <c r="I110" i="1" a="1"/>
  <c r="I110" i="1" s="1"/>
  <c r="I95" i="1" a="1"/>
  <c r="I95" i="1" s="1"/>
  <c r="I99" i="1" a="1"/>
  <c r="I99" i="1" s="1"/>
  <c r="I121" i="1" a="1"/>
  <c r="I121" i="1" s="1"/>
  <c r="I91" i="1" a="1"/>
  <c r="I91" i="1" s="1"/>
  <c r="I122" i="1" a="1"/>
  <c r="I122" i="1" s="1"/>
  <c r="I176" i="1" a="1"/>
  <c r="I176" i="1" s="1"/>
  <c r="I177" i="1" a="1"/>
  <c r="I177" i="1" s="1"/>
  <c r="I178" i="1" a="1"/>
  <c r="I178" i="1" s="1"/>
  <c r="I125" i="1" a="1"/>
  <c r="I125" i="1" s="1"/>
  <c r="I94" i="1" a="1"/>
  <c r="I94" i="1" s="1"/>
  <c r="I96" i="1" a="1"/>
  <c r="I96" i="1" s="1"/>
  <c r="I98" i="1" a="1"/>
  <c r="I98" i="1" s="1"/>
  <c r="I105" i="1" a="1"/>
  <c r="I105" i="1" s="1"/>
  <c r="I113" i="1" a="1"/>
  <c r="I113" i="1" s="1"/>
  <c r="I114" i="1" a="1"/>
  <c r="I114" i="1" s="1"/>
  <c r="I132" i="1" a="1"/>
  <c r="I132" i="1" s="1"/>
  <c r="I131" i="1" a="1"/>
  <c r="I131" i="1" s="1"/>
  <c r="I129" i="1" a="1"/>
  <c r="I129" i="1" s="1"/>
  <c r="I127" i="1" a="1"/>
  <c r="I127" i="1" s="1"/>
  <c r="I130" i="1" a="1"/>
  <c r="I130" i="1" s="1"/>
  <c r="I128" i="1" a="1"/>
  <c r="I128" i="1" s="1"/>
  <c r="I126" i="1" a="1"/>
  <c r="I126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9" i="1" a="1"/>
  <c r="I149" i="1" s="1"/>
  <c r="I150" i="1" a="1"/>
  <c r="I150" i="1" s="1"/>
  <c r="I153" i="1" a="1"/>
  <c r="I153" i="1" s="1"/>
  <c r="I154" i="1" a="1"/>
  <c r="I154" i="1" s="1"/>
  <c r="I158" i="1" a="1"/>
  <c r="I158" i="1" s="1"/>
  <c r="I164" i="1" a="1"/>
  <c r="I164" i="1" s="1"/>
  <c r="I166" i="1" a="1"/>
  <c r="I166" i="1" s="1"/>
  <c r="I167" i="1" a="1"/>
  <c r="I167" i="1" s="1"/>
  <c r="I146" i="1" a="1"/>
  <c r="I146" i="1" s="1"/>
  <c r="I147" i="1" a="1"/>
  <c r="I147" i="1" s="1"/>
  <c r="I148" i="1" a="1"/>
  <c r="I148" i="1" s="1"/>
  <c r="I151" i="1" a="1"/>
  <c r="I151" i="1" s="1"/>
  <c r="I152" i="1" a="1"/>
  <c r="I152" i="1" s="1"/>
  <c r="I165" i="1" a="1"/>
  <c r="I165" i="1" s="1"/>
  <c r="I155" i="1" a="1"/>
  <c r="I155" i="1" s="1"/>
  <c r="I157" i="1" a="1"/>
  <c r="I157" i="1" s="1"/>
  <c r="I156" i="1" a="1"/>
  <c r="I156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8" i="1" a="1"/>
  <c r="I168" i="1" s="1"/>
  <c r="I169" i="1" a="1"/>
  <c r="I169" i="1" s="1"/>
  <c r="I173" i="1" a="1"/>
  <c r="I173" i="1" s="1"/>
  <c r="I170" i="1" a="1"/>
  <c r="I170" i="1" s="1"/>
  <c r="I171" i="1" a="1"/>
  <c r="I171" i="1" s="1"/>
  <c r="J99" i="1" a="1"/>
  <c r="J99" i="1" s="1"/>
  <c r="J121" i="1" a="1"/>
  <c r="J121" i="1" s="1"/>
  <c r="J176" i="1" a="1"/>
  <c r="J176" i="1" s="1"/>
  <c r="J94" i="1" a="1"/>
  <c r="J94" i="1" s="1"/>
  <c r="J96" i="1" a="1"/>
  <c r="J96" i="1" s="1"/>
  <c r="J129" i="1" a="1"/>
  <c r="J129" i="1" s="1"/>
  <c r="J127" i="1" a="1"/>
  <c r="J127" i="1" s="1"/>
  <c r="J130" i="1" a="1"/>
  <c r="J130" i="1" s="1"/>
  <c r="J126" i="1" a="1"/>
  <c r="J126" i="1" s="1"/>
  <c r="J182" i="1" a="1"/>
  <c r="J182" i="1" s="1"/>
  <c r="J183" i="1" a="1"/>
  <c r="J183" i="1" s="1"/>
  <c r="J186" i="1" a="1"/>
  <c r="J186" i="1" s="1"/>
  <c r="J138" i="1" a="1"/>
  <c r="J138" i="1" s="1"/>
  <c r="J139" i="1" a="1"/>
  <c r="J139" i="1" s="1"/>
  <c r="J142" i="1" a="1"/>
  <c r="J142" i="1" s="1"/>
  <c r="J145" i="1" a="1"/>
  <c r="J145" i="1" s="1"/>
  <c r="J149" i="1" a="1"/>
  <c r="J149" i="1" s="1"/>
  <c r="J150" i="1" a="1"/>
  <c r="J150" i="1" s="1"/>
  <c r="J153" i="1" a="1"/>
  <c r="J153" i="1" s="1"/>
  <c r="J147" i="1" a="1"/>
  <c r="J147" i="1" s="1"/>
  <c r="J159" i="1" a="1"/>
  <c r="J159" i="1" s="1"/>
  <c r="J160" i="1" a="1"/>
  <c r="J160" i="1" s="1"/>
  <c r="J170" i="1" a="1"/>
  <c r="J170" i="1" s="1"/>
  <c r="J171" i="1" a="1"/>
  <c r="J171" i="1" s="1"/>
  <c r="K106" i="1"/>
  <c r="K102" i="1"/>
  <c r="K103" i="1"/>
  <c r="K117" i="1"/>
  <c r="K112" i="1"/>
  <c r="K115" i="1"/>
  <c r="K119" i="1"/>
  <c r="K92" i="1"/>
  <c r="K93" i="1"/>
  <c r="K116" i="1"/>
  <c r="K110" i="1"/>
  <c r="K95" i="1"/>
  <c r="K99" i="1"/>
  <c r="K121" i="1"/>
  <c r="K91" i="1"/>
  <c r="K122" i="1"/>
  <c r="K176" i="1"/>
  <c r="K177" i="1"/>
  <c r="K178" i="1"/>
  <c r="K125" i="1"/>
  <c r="K94" i="1"/>
  <c r="K96" i="1"/>
  <c r="K98" i="1"/>
  <c r="K105" i="1"/>
  <c r="K113" i="1"/>
  <c r="K114" i="1"/>
  <c r="K132" i="1"/>
  <c r="K131" i="1"/>
  <c r="K129" i="1"/>
  <c r="K127" i="1"/>
  <c r="K130" i="1"/>
  <c r="K128" i="1"/>
  <c r="K126" i="1"/>
  <c r="K179" i="1"/>
  <c r="K180" i="1"/>
  <c r="K181" i="1"/>
  <c r="K182" i="1"/>
  <c r="K183" i="1"/>
  <c r="K184" i="1"/>
  <c r="K185" i="1"/>
  <c r="K186" i="1"/>
  <c r="K137" i="1"/>
  <c r="K138" i="1"/>
  <c r="K139" i="1"/>
  <c r="K140" i="1"/>
  <c r="K141" i="1"/>
  <c r="K142" i="1"/>
  <c r="K143" i="1"/>
  <c r="K144" i="1"/>
  <c r="K145" i="1"/>
  <c r="K149" i="1"/>
  <c r="K150" i="1"/>
  <c r="K153" i="1"/>
  <c r="K154" i="1"/>
  <c r="K158" i="1"/>
  <c r="K164" i="1"/>
  <c r="K166" i="1"/>
  <c r="K167" i="1"/>
  <c r="K146" i="1"/>
  <c r="K147" i="1"/>
  <c r="K148" i="1"/>
  <c r="K151" i="1"/>
  <c r="K152" i="1"/>
  <c r="K165" i="1"/>
  <c r="K155" i="1"/>
  <c r="K157" i="1"/>
  <c r="K156" i="1"/>
  <c r="K159" i="1"/>
  <c r="K160" i="1"/>
  <c r="K161" i="1"/>
  <c r="K162" i="1"/>
  <c r="K163" i="1"/>
  <c r="K168" i="1"/>
  <c r="K169" i="1"/>
  <c r="K173" i="1"/>
  <c r="K170" i="1"/>
  <c r="K171" i="1"/>
  <c r="B97" i="1"/>
  <c r="J97" i="1" s="1" a="1"/>
  <c r="J97" i="1" s="1"/>
  <c r="B104" i="1"/>
  <c r="J104" i="1" s="1" a="1"/>
  <c r="J104" i="1" s="1"/>
  <c r="B107" i="1"/>
  <c r="J107" i="1" s="1" a="1"/>
  <c r="J107" i="1" s="1"/>
  <c r="B109" i="1"/>
  <c r="B108" i="1"/>
  <c r="J108" i="1" s="1" a="1"/>
  <c r="J108" i="1" s="1"/>
  <c r="B90" i="1"/>
  <c r="J90" i="1" s="1" a="1"/>
  <c r="J90" i="1" s="1"/>
  <c r="B120" i="1"/>
  <c r="J120" i="1" s="1" a="1"/>
  <c r="J120" i="1" s="1"/>
  <c r="B123" i="1"/>
  <c r="J123" i="1" s="1" a="1"/>
  <c r="J123" i="1" s="1"/>
  <c r="B124" i="1"/>
  <c r="J124" i="1" s="1" a="1"/>
  <c r="J124" i="1" s="1"/>
  <c r="B111" i="1"/>
  <c r="J111" i="1" s="1" a="1"/>
  <c r="J111" i="1" s="1"/>
  <c r="B118" i="1"/>
  <c r="B100" i="1"/>
  <c r="B101" i="1"/>
  <c r="J101" i="1" s="1" a="1"/>
  <c r="J101" i="1" s="1"/>
  <c r="F90" i="1"/>
  <c r="I90" i="1" a="1"/>
  <c r="I90" i="1" s="1"/>
  <c r="K90" i="1"/>
  <c r="F108" i="1"/>
  <c r="I108" i="1" a="1"/>
  <c r="I108" i="1" s="1"/>
  <c r="K108" i="1"/>
  <c r="F25" i="1"/>
  <c r="F27" i="1"/>
  <c r="F28" i="1"/>
  <c r="F29" i="1"/>
  <c r="F30" i="1"/>
  <c r="F36" i="1"/>
  <c r="F45" i="1"/>
  <c r="F39" i="1"/>
  <c r="F40" i="1"/>
  <c r="F47" i="1"/>
  <c r="F48" i="1"/>
  <c r="F38" i="1"/>
  <c r="F49" i="1"/>
  <c r="F46" i="1"/>
  <c r="F31" i="1"/>
  <c r="F44" i="1"/>
  <c r="F41" i="1"/>
  <c r="F42" i="1"/>
  <c r="F43" i="1"/>
  <c r="F32" i="1"/>
  <c r="F33" i="1"/>
  <c r="F34" i="1"/>
  <c r="F35" i="1"/>
  <c r="F37" i="1"/>
  <c r="F50" i="1"/>
  <c r="F51" i="1"/>
  <c r="F54" i="1"/>
  <c r="F52" i="1"/>
  <c r="F53" i="1"/>
  <c r="F55" i="1"/>
  <c r="F56" i="1"/>
  <c r="F57" i="1"/>
  <c r="F58" i="1"/>
  <c r="F65" i="1"/>
  <c r="F68" i="1"/>
  <c r="F70" i="1"/>
  <c r="F71" i="1"/>
  <c r="F78" i="1"/>
  <c r="F79" i="1"/>
  <c r="F69" i="1"/>
  <c r="F80" i="1"/>
  <c r="F77" i="1"/>
  <c r="F59" i="1"/>
  <c r="F76" i="1"/>
  <c r="F72" i="1"/>
  <c r="F73" i="1"/>
  <c r="F75" i="1"/>
  <c r="F74" i="1"/>
  <c r="F60" i="1"/>
  <c r="F61" i="1"/>
  <c r="F62" i="1"/>
  <c r="F63" i="1"/>
  <c r="F64" i="1"/>
  <c r="F66" i="1"/>
  <c r="F67" i="1"/>
  <c r="F81" i="1"/>
  <c r="F82" i="1"/>
  <c r="F85" i="1"/>
  <c r="F83" i="1"/>
  <c r="F84" i="1"/>
  <c r="F86" i="1"/>
  <c r="F87" i="1"/>
  <c r="F88" i="1"/>
  <c r="F89" i="1"/>
  <c r="F97" i="1"/>
  <c r="F104" i="1"/>
  <c r="F107" i="1"/>
  <c r="F109" i="1"/>
  <c r="F120" i="1"/>
  <c r="F123" i="1"/>
  <c r="F124" i="1"/>
  <c r="F111" i="1"/>
  <c r="F118" i="1"/>
  <c r="F100" i="1"/>
  <c r="F101" i="1"/>
  <c r="I24" i="1" a="1"/>
  <c r="I24" i="1" s="1"/>
  <c r="I25" i="1" a="1"/>
  <c r="I25" i="1" s="1"/>
  <c r="I27" i="1" a="1"/>
  <c r="I27" i="1" s="1"/>
  <c r="I28" i="1" a="1"/>
  <c r="I28" i="1" s="1"/>
  <c r="I29" i="1" a="1"/>
  <c r="I29" i="1" s="1"/>
  <c r="I30" i="1" a="1"/>
  <c r="I30" i="1" s="1"/>
  <c r="I36" i="1" a="1"/>
  <c r="I36" i="1" s="1"/>
  <c r="I45" i="1" a="1"/>
  <c r="I45" i="1" s="1"/>
  <c r="I39" i="1" a="1"/>
  <c r="I39" i="1" s="1"/>
  <c r="I40" i="1" a="1"/>
  <c r="I40" i="1" s="1"/>
  <c r="I47" i="1" a="1"/>
  <c r="I47" i="1" s="1"/>
  <c r="I48" i="1" a="1"/>
  <c r="I48" i="1" s="1"/>
  <c r="I38" i="1" a="1"/>
  <c r="I38" i="1" s="1"/>
  <c r="I49" i="1" a="1"/>
  <c r="I49" i="1" s="1"/>
  <c r="I46" i="1" a="1"/>
  <c r="I46" i="1" s="1"/>
  <c r="I31" i="1" a="1"/>
  <c r="I31" i="1" s="1"/>
  <c r="I44" i="1" a="1"/>
  <c r="I44" i="1" s="1"/>
  <c r="I41" i="1" a="1"/>
  <c r="I41" i="1" s="1"/>
  <c r="I42" i="1" a="1"/>
  <c r="I42" i="1" s="1"/>
  <c r="I43" i="1" a="1"/>
  <c r="I43" i="1" s="1"/>
  <c r="I32" i="1" a="1"/>
  <c r="I32" i="1" s="1"/>
  <c r="I33" i="1" a="1"/>
  <c r="I33" i="1" s="1"/>
  <c r="I34" i="1" a="1"/>
  <c r="I34" i="1" s="1"/>
  <c r="I35" i="1" a="1"/>
  <c r="I35" i="1" s="1"/>
  <c r="I37" i="1" a="1"/>
  <c r="I37" i="1" s="1"/>
  <c r="I50" i="1" a="1"/>
  <c r="I50" i="1" s="1"/>
  <c r="I51" i="1" a="1"/>
  <c r="I51" i="1" s="1"/>
  <c r="I54" i="1" a="1"/>
  <c r="I54" i="1" s="1"/>
  <c r="I52" i="1" a="1"/>
  <c r="I52" i="1" s="1"/>
  <c r="I53" i="1" a="1"/>
  <c r="I53" i="1" s="1"/>
  <c r="I55" i="1" a="1"/>
  <c r="I55" i="1" s="1"/>
  <c r="I56" i="1" a="1"/>
  <c r="I56" i="1" s="1"/>
  <c r="I57" i="1" a="1"/>
  <c r="I57" i="1" s="1"/>
  <c r="I58" i="1" a="1"/>
  <c r="I58" i="1" s="1"/>
  <c r="I65" i="1" a="1"/>
  <c r="I65" i="1" s="1"/>
  <c r="I68" i="1" a="1"/>
  <c r="I68" i="1" s="1"/>
  <c r="I70" i="1" a="1"/>
  <c r="I70" i="1" s="1"/>
  <c r="I71" i="1" a="1"/>
  <c r="I71" i="1" s="1"/>
  <c r="I78" i="1" a="1"/>
  <c r="I78" i="1" s="1"/>
  <c r="I79" i="1" a="1"/>
  <c r="I79" i="1" s="1"/>
  <c r="I69" i="1" a="1"/>
  <c r="I69" i="1" s="1"/>
  <c r="I80" i="1" a="1"/>
  <c r="I80" i="1" s="1"/>
  <c r="I77" i="1" a="1"/>
  <c r="I77" i="1" s="1"/>
  <c r="I59" i="1" a="1"/>
  <c r="I59" i="1" s="1"/>
  <c r="I76" i="1" a="1"/>
  <c r="I76" i="1" s="1"/>
  <c r="I72" i="1" a="1"/>
  <c r="I72" i="1" s="1"/>
  <c r="I73" i="1" a="1"/>
  <c r="I73" i="1" s="1"/>
  <c r="I75" i="1" a="1"/>
  <c r="I75" i="1" s="1"/>
  <c r="I74" i="1" a="1"/>
  <c r="I74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6" i="1" a="1"/>
  <c r="I66" i="1" s="1"/>
  <c r="I67" i="1" a="1"/>
  <c r="I67" i="1" s="1"/>
  <c r="I81" i="1" a="1"/>
  <c r="I81" i="1" s="1"/>
  <c r="I82" i="1" a="1"/>
  <c r="I82" i="1" s="1"/>
  <c r="I85" i="1" a="1"/>
  <c r="I85" i="1" s="1"/>
  <c r="I83" i="1" a="1"/>
  <c r="I83" i="1" s="1"/>
  <c r="I84" i="1" a="1"/>
  <c r="I84" i="1" s="1"/>
  <c r="I86" i="1" a="1"/>
  <c r="I86" i="1" s="1"/>
  <c r="I87" i="1" a="1"/>
  <c r="I87" i="1" s="1"/>
  <c r="I88" i="1" a="1"/>
  <c r="I88" i="1" s="1"/>
  <c r="I89" i="1" a="1"/>
  <c r="I89" i="1" s="1"/>
  <c r="I97" i="1" a="1"/>
  <c r="I97" i="1" s="1"/>
  <c r="I104" i="1" a="1"/>
  <c r="I104" i="1" s="1"/>
  <c r="I107" i="1" a="1"/>
  <c r="I107" i="1" s="1"/>
  <c r="I109" i="1" a="1"/>
  <c r="I109" i="1" s="1"/>
  <c r="I120" i="1" a="1"/>
  <c r="I120" i="1" s="1"/>
  <c r="I123" i="1" a="1"/>
  <c r="I123" i="1" s="1"/>
  <c r="I124" i="1" a="1"/>
  <c r="I124" i="1" s="1"/>
  <c r="I111" i="1" a="1"/>
  <c r="I111" i="1" s="1"/>
  <c r="I118" i="1" a="1"/>
  <c r="I118" i="1" s="1"/>
  <c r="I100" i="1" a="1"/>
  <c r="I100" i="1" s="1"/>
  <c r="I101" i="1" a="1"/>
  <c r="I101" i="1" s="1"/>
  <c r="J24" i="1" a="1"/>
  <c r="J24" i="1" s="1"/>
  <c r="J25" i="1" a="1"/>
  <c r="J25" i="1" s="1"/>
  <c r="J27" i="1" a="1"/>
  <c r="J27" i="1" s="1"/>
  <c r="J28" i="1" a="1"/>
  <c r="J28" i="1" s="1"/>
  <c r="J29" i="1" a="1"/>
  <c r="J29" i="1" s="1"/>
  <c r="J30" i="1" a="1"/>
  <c r="J30" i="1" s="1"/>
  <c r="J36" i="1" a="1"/>
  <c r="J36" i="1" s="1"/>
  <c r="J45" i="1" a="1"/>
  <c r="J45" i="1" s="1"/>
  <c r="J39" i="1" a="1"/>
  <c r="J39" i="1" s="1"/>
  <c r="J40" i="1" a="1"/>
  <c r="J40" i="1" s="1"/>
  <c r="J47" i="1" a="1"/>
  <c r="J47" i="1" s="1"/>
  <c r="J48" i="1" a="1"/>
  <c r="J48" i="1" s="1"/>
  <c r="J38" i="1" a="1"/>
  <c r="J38" i="1" s="1"/>
  <c r="J49" i="1" a="1"/>
  <c r="J49" i="1" s="1"/>
  <c r="J46" i="1" a="1"/>
  <c r="J46" i="1" s="1"/>
  <c r="J31" i="1" a="1"/>
  <c r="J31" i="1" s="1"/>
  <c r="J44" i="1" a="1"/>
  <c r="J44" i="1" s="1"/>
  <c r="J41" i="1" a="1"/>
  <c r="J41" i="1" s="1"/>
  <c r="J42" i="1" a="1"/>
  <c r="J42" i="1" s="1"/>
  <c r="J43" i="1" a="1"/>
  <c r="J43" i="1" s="1"/>
  <c r="J32" i="1" a="1"/>
  <c r="J32" i="1" s="1"/>
  <c r="J33" i="1" a="1"/>
  <c r="J33" i="1" s="1"/>
  <c r="J34" i="1" a="1"/>
  <c r="J34" i="1" s="1"/>
  <c r="J35" i="1" a="1"/>
  <c r="J35" i="1" s="1"/>
  <c r="J37" i="1" a="1"/>
  <c r="J37" i="1" s="1"/>
  <c r="J50" i="1" a="1"/>
  <c r="J50" i="1" s="1"/>
  <c r="J51" i="1" a="1"/>
  <c r="J51" i="1" s="1"/>
  <c r="J54" i="1" a="1"/>
  <c r="J54" i="1" s="1"/>
  <c r="J52" i="1" a="1"/>
  <c r="J52" i="1" s="1"/>
  <c r="J53" i="1" a="1"/>
  <c r="J53" i="1" s="1"/>
  <c r="J55" i="1" a="1"/>
  <c r="J55" i="1" s="1"/>
  <c r="J56" i="1" a="1"/>
  <c r="J56" i="1" s="1"/>
  <c r="J57" i="1" a="1"/>
  <c r="J57" i="1" s="1"/>
  <c r="J58" i="1" a="1"/>
  <c r="J58" i="1" s="1"/>
  <c r="J65" i="1" a="1"/>
  <c r="J65" i="1" s="1"/>
  <c r="J68" i="1" a="1"/>
  <c r="J68" i="1" s="1"/>
  <c r="J70" i="1" a="1"/>
  <c r="J70" i="1" s="1"/>
  <c r="J71" i="1" a="1"/>
  <c r="J71" i="1" s="1"/>
  <c r="J78" i="1" a="1"/>
  <c r="J78" i="1" s="1"/>
  <c r="J79" i="1" a="1"/>
  <c r="J79" i="1" s="1"/>
  <c r="J69" i="1" a="1"/>
  <c r="J69" i="1" s="1"/>
  <c r="J80" i="1" a="1"/>
  <c r="J80" i="1" s="1"/>
  <c r="J77" i="1" a="1"/>
  <c r="J77" i="1" s="1"/>
  <c r="J59" i="1" a="1"/>
  <c r="J59" i="1" s="1"/>
  <c r="J76" i="1" a="1"/>
  <c r="J76" i="1" s="1"/>
  <c r="J72" i="1" a="1"/>
  <c r="J72" i="1" s="1"/>
  <c r="J73" i="1" a="1"/>
  <c r="J73" i="1" s="1"/>
  <c r="J75" i="1" a="1"/>
  <c r="J75" i="1" s="1"/>
  <c r="J74" i="1" a="1"/>
  <c r="J74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6" i="1" a="1"/>
  <c r="J66" i="1" s="1"/>
  <c r="J67" i="1" a="1"/>
  <c r="J67" i="1" s="1"/>
  <c r="J81" i="1" a="1"/>
  <c r="J81" i="1" s="1"/>
  <c r="J82" i="1" a="1"/>
  <c r="J82" i="1" s="1"/>
  <c r="J85" i="1" a="1"/>
  <c r="J85" i="1" s="1"/>
  <c r="J83" i="1" a="1"/>
  <c r="J83" i="1" s="1"/>
  <c r="J84" i="1" a="1"/>
  <c r="J84" i="1" s="1"/>
  <c r="J86" i="1" a="1"/>
  <c r="J86" i="1" s="1"/>
  <c r="J87" i="1" a="1"/>
  <c r="J87" i="1" s="1"/>
  <c r="J88" i="1" a="1"/>
  <c r="J88" i="1" s="1"/>
  <c r="J89" i="1" a="1"/>
  <c r="J89" i="1" s="1"/>
  <c r="J109" i="1" a="1"/>
  <c r="J109" i="1" s="1"/>
  <c r="J118" i="1" a="1"/>
  <c r="J118" i="1" s="1"/>
  <c r="J100" i="1" a="1"/>
  <c r="J100" i="1" s="1"/>
  <c r="K24" i="1"/>
  <c r="K25" i="1"/>
  <c r="K27" i="1"/>
  <c r="K28" i="1"/>
  <c r="K29" i="1"/>
  <c r="K30" i="1"/>
  <c r="K36" i="1"/>
  <c r="K45" i="1"/>
  <c r="K39" i="1"/>
  <c r="K40" i="1"/>
  <c r="K47" i="1"/>
  <c r="K48" i="1"/>
  <c r="K38" i="1"/>
  <c r="K49" i="1"/>
  <c r="K46" i="1"/>
  <c r="K31" i="1"/>
  <c r="K44" i="1"/>
  <c r="K41" i="1"/>
  <c r="K42" i="1"/>
  <c r="K43" i="1"/>
  <c r="K32" i="1"/>
  <c r="K33" i="1"/>
  <c r="K34" i="1"/>
  <c r="K35" i="1"/>
  <c r="K37" i="1"/>
  <c r="K50" i="1"/>
  <c r="K51" i="1"/>
  <c r="K54" i="1"/>
  <c r="K52" i="1"/>
  <c r="K53" i="1"/>
  <c r="K55" i="1"/>
  <c r="K56" i="1"/>
  <c r="K57" i="1"/>
  <c r="K58" i="1"/>
  <c r="K65" i="1"/>
  <c r="K68" i="1"/>
  <c r="K70" i="1"/>
  <c r="K71" i="1"/>
  <c r="K78" i="1"/>
  <c r="K79" i="1"/>
  <c r="K69" i="1"/>
  <c r="K80" i="1"/>
  <c r="K77" i="1"/>
  <c r="K59" i="1"/>
  <c r="K76" i="1"/>
  <c r="K72" i="1"/>
  <c r="K73" i="1"/>
  <c r="K75" i="1"/>
  <c r="K74" i="1"/>
  <c r="K60" i="1"/>
  <c r="K61" i="1"/>
  <c r="K62" i="1"/>
  <c r="K63" i="1"/>
  <c r="K64" i="1"/>
  <c r="K66" i="1"/>
  <c r="K67" i="1"/>
  <c r="K81" i="1"/>
  <c r="K82" i="1"/>
  <c r="K85" i="1"/>
  <c r="K83" i="1"/>
  <c r="K84" i="1"/>
  <c r="K86" i="1"/>
  <c r="K87" i="1"/>
  <c r="K88" i="1"/>
  <c r="K89" i="1"/>
  <c r="K97" i="1"/>
  <c r="K104" i="1"/>
  <c r="K107" i="1"/>
  <c r="K109" i="1"/>
  <c r="K120" i="1"/>
  <c r="K123" i="1"/>
  <c r="K124" i="1"/>
  <c r="K111" i="1"/>
  <c r="K118" i="1"/>
  <c r="K100" i="1"/>
  <c r="K101" i="1"/>
  <c r="F24" i="1"/>
  <c r="K10" i="1"/>
  <c r="K18" i="1"/>
  <c r="K12" i="1"/>
  <c r="K13" i="1"/>
  <c r="K20" i="1"/>
  <c r="K21" i="1"/>
  <c r="K11" i="1"/>
  <c r="K22" i="1"/>
  <c r="K19" i="1"/>
  <c r="K2" i="1"/>
  <c r="K17" i="1"/>
  <c r="K14" i="1"/>
  <c r="K15" i="1"/>
  <c r="K16" i="1"/>
  <c r="K3" i="1"/>
  <c r="K5" i="1"/>
  <c r="K4" i="1"/>
  <c r="K6" i="1"/>
  <c r="K8" i="1"/>
  <c r="K9" i="1"/>
  <c r="K23" i="1"/>
  <c r="K26" i="1"/>
  <c r="K7" i="1"/>
  <c r="F7" i="1"/>
  <c r="F10" i="1"/>
  <c r="F18" i="1"/>
  <c r="F12" i="1"/>
  <c r="F13" i="1"/>
  <c r="F20" i="1"/>
  <c r="F21" i="1"/>
  <c r="F11" i="1"/>
  <c r="F22" i="1"/>
  <c r="F19" i="1"/>
  <c r="F2" i="1"/>
  <c r="F17" i="1"/>
  <c r="F14" i="1"/>
  <c r="F15" i="1"/>
  <c r="F16" i="1"/>
  <c r="F3" i="1"/>
  <c r="F5" i="1"/>
  <c r="F4" i="1"/>
  <c r="F6" i="1"/>
  <c r="F8" i="1"/>
  <c r="F9" i="1"/>
  <c r="F23" i="1"/>
  <c r="F26" i="1"/>
  <c r="I10" i="1" a="1"/>
  <c r="I10" i="1" s="1"/>
  <c r="I18" i="1" a="1"/>
  <c r="I18" i="1" s="1"/>
  <c r="I12" i="1" a="1"/>
  <c r="I12" i="1" s="1"/>
  <c r="I13" i="1" a="1"/>
  <c r="I13" i="1" s="1"/>
  <c r="I20" i="1" a="1"/>
  <c r="I20" i="1" s="1"/>
  <c r="I21" i="1" a="1"/>
  <c r="I21" i="1" s="1"/>
  <c r="I11" i="1" a="1"/>
  <c r="I11" i="1" s="1"/>
  <c r="I22" i="1" a="1"/>
  <c r="I22" i="1" s="1"/>
  <c r="I19" i="1" a="1"/>
  <c r="I19" i="1" s="1"/>
  <c r="I2" i="1" a="1"/>
  <c r="I2" i="1" s="1"/>
  <c r="I17" i="1" a="1"/>
  <c r="I17" i="1" s="1"/>
  <c r="I14" i="1" a="1"/>
  <c r="I14" i="1" s="1"/>
  <c r="I15" i="1" a="1"/>
  <c r="I15" i="1" s="1"/>
  <c r="I16" i="1" a="1"/>
  <c r="I16" i="1" s="1"/>
  <c r="I3" i="1" a="1"/>
  <c r="I3" i="1" s="1"/>
  <c r="I5" i="1" a="1"/>
  <c r="I5" i="1" s="1"/>
  <c r="I4" i="1" a="1"/>
  <c r="I4" i="1" s="1"/>
  <c r="I6" i="1" a="1"/>
  <c r="I6" i="1" s="1"/>
  <c r="I8" i="1" a="1"/>
  <c r="I8" i="1" s="1"/>
  <c r="I9" i="1" a="1"/>
  <c r="I9" i="1" s="1"/>
  <c r="I23" i="1" a="1"/>
  <c r="I23" i="1" s="1"/>
  <c r="I26" i="1" a="1"/>
  <c r="I26" i="1" s="1"/>
  <c r="J10" i="1" a="1"/>
  <c r="J10" i="1" s="1"/>
  <c r="J18" i="1" a="1"/>
  <c r="J18" i="1" s="1"/>
  <c r="J12" i="1" a="1"/>
  <c r="J12" i="1" s="1"/>
  <c r="J13" i="1" a="1"/>
  <c r="J13" i="1" s="1"/>
  <c r="J20" i="1" a="1"/>
  <c r="J20" i="1" s="1"/>
  <c r="J21" i="1" a="1"/>
  <c r="J21" i="1" s="1"/>
  <c r="J11" i="1" a="1"/>
  <c r="J11" i="1" s="1"/>
  <c r="J22" i="1" a="1"/>
  <c r="J22" i="1" s="1"/>
  <c r="J19" i="1" a="1"/>
  <c r="J19" i="1" s="1"/>
  <c r="J2" i="1" a="1"/>
  <c r="J2" i="1" s="1"/>
  <c r="J17" i="1" a="1"/>
  <c r="J17" i="1" s="1"/>
  <c r="J14" i="1" a="1"/>
  <c r="J14" i="1" s="1"/>
  <c r="J15" i="1" a="1"/>
  <c r="J15" i="1" s="1"/>
  <c r="J16" i="1" a="1"/>
  <c r="J16" i="1" s="1"/>
  <c r="J3" i="1" a="1"/>
  <c r="J3" i="1" s="1"/>
  <c r="J5" i="1" a="1"/>
  <c r="J5" i="1" s="1"/>
  <c r="J4" i="1" a="1"/>
  <c r="J4" i="1" s="1"/>
  <c r="J6" i="1" a="1"/>
  <c r="J6" i="1" s="1"/>
  <c r="J8" i="1" a="1"/>
  <c r="J8" i="1" s="1"/>
  <c r="J9" i="1" a="1"/>
  <c r="J9" i="1" s="1"/>
  <c r="J23" i="1" a="1"/>
  <c r="J23" i="1" s="1"/>
  <c r="J26" i="1" a="1"/>
  <c r="J26" i="1" s="1"/>
  <c r="J7" i="1" a="1"/>
  <c r="J7" i="1" s="1"/>
  <c r="I7" i="1" a="1"/>
  <c r="I7" i="1" s="1"/>
  <c r="C191" i="1" l="1"/>
  <c r="C192" i="1" s="1"/>
  <c r="J195" i="1" a="1"/>
  <c r="J195" i="1" s="1"/>
  <c r="J203" i="1" a="1"/>
  <c r="J203" i="1" s="1"/>
  <c r="J193" i="1" a="1"/>
  <c r="J193" i="1" s="1"/>
  <c r="J191" i="1" a="1"/>
  <c r="J191" i="1" s="1"/>
  <c r="D191" i="1" a="1"/>
  <c r="D191" i="1" s="1"/>
  <c r="J189" i="1" a="1"/>
  <c r="J189" i="1" s="1"/>
  <c r="D189" i="1" a="1"/>
  <c r="D189" i="1" s="1"/>
  <c r="J197" i="1" a="1"/>
  <c r="J197" i="1" s="1"/>
  <c r="D90" i="1" a="1"/>
  <c r="D90" i="1" s="1"/>
  <c r="C66" i="1"/>
  <c r="D65" i="1" a="1"/>
  <c r="D65" i="1" s="1"/>
  <c r="D7" i="1" a="1"/>
  <c r="D7" i="1" s="1"/>
  <c r="C8" i="1"/>
  <c r="D97" i="1" a="1"/>
  <c r="D97" i="1" s="1"/>
  <c r="C98" i="1"/>
  <c r="D192" i="1" l="1" a="1"/>
  <c r="D192" i="1" s="1"/>
  <c r="C193" i="1"/>
  <c r="C67" i="1"/>
  <c r="D66" i="1" a="1"/>
  <c r="D66" i="1" s="1"/>
  <c r="D8" i="1" a="1"/>
  <c r="D8" i="1" s="1"/>
  <c r="C9" i="1"/>
  <c r="D98" i="1" a="1"/>
  <c r="D98" i="1" s="1"/>
  <c r="C99" i="1"/>
  <c r="D91" i="1" a="1"/>
  <c r="D91" i="1" s="1"/>
  <c r="C194" i="1" l="1"/>
  <c r="D193" i="1" a="1"/>
  <c r="D193" i="1" s="1"/>
  <c r="D67" i="1" a="1"/>
  <c r="D67" i="1" s="1"/>
  <c r="C68" i="1"/>
  <c r="D9" i="1" a="1"/>
  <c r="D9" i="1" s="1"/>
  <c r="C10" i="1"/>
  <c r="C100" i="1"/>
  <c r="D99" i="1" a="1"/>
  <c r="D99" i="1" s="1"/>
  <c r="D92" i="1" a="1"/>
  <c r="D92" i="1" s="1"/>
  <c r="C195" i="1" l="1"/>
  <c r="D194" i="1" a="1"/>
  <c r="D194" i="1" s="1"/>
  <c r="C69" i="1"/>
  <c r="D68" i="1" a="1"/>
  <c r="D68" i="1" s="1"/>
  <c r="D10" i="1" a="1"/>
  <c r="D10" i="1" s="1"/>
  <c r="C11" i="1"/>
  <c r="C101" i="1"/>
  <c r="D100" i="1" a="1"/>
  <c r="D100" i="1" s="1"/>
  <c r="D93" i="1" a="1"/>
  <c r="D93" i="1" s="1"/>
  <c r="C196" i="1" l="1"/>
  <c r="D195" i="1" a="1"/>
  <c r="D195" i="1" s="1"/>
  <c r="C70" i="1"/>
  <c r="D69" i="1" a="1"/>
  <c r="D69" i="1" s="1"/>
  <c r="C12" i="1"/>
  <c r="D11" i="1" a="1"/>
  <c r="D11" i="1" s="1"/>
  <c r="C102" i="1"/>
  <c r="D101" i="1" a="1"/>
  <c r="D101" i="1" s="1"/>
  <c r="D94" i="1" a="1"/>
  <c r="D94" i="1" s="1"/>
  <c r="C197" i="1" l="1"/>
  <c r="D196" i="1" a="1"/>
  <c r="D196" i="1" s="1"/>
  <c r="C71" i="1"/>
  <c r="D70" i="1" a="1"/>
  <c r="D70" i="1" s="1"/>
  <c r="C13" i="1"/>
  <c r="D12" i="1" a="1"/>
  <c r="D12" i="1" s="1"/>
  <c r="C103" i="1"/>
  <c r="D102" i="1" a="1"/>
  <c r="D102" i="1" s="1"/>
  <c r="D95" i="1" a="1"/>
  <c r="D95" i="1" s="1"/>
  <c r="C198" i="1" l="1"/>
  <c r="D197" i="1" a="1"/>
  <c r="D197" i="1" s="1"/>
  <c r="C72" i="1"/>
  <c r="D71" i="1" a="1"/>
  <c r="D71" i="1" s="1"/>
  <c r="C14" i="1"/>
  <c r="D13" i="1" a="1"/>
  <c r="D13" i="1" s="1"/>
  <c r="C104" i="1"/>
  <c r="D103" i="1" a="1"/>
  <c r="D103" i="1" s="1"/>
  <c r="D96" i="1" a="1"/>
  <c r="D96" i="1" s="1"/>
  <c r="C199" i="1" l="1"/>
  <c r="D198" i="1" a="1"/>
  <c r="D198" i="1" s="1"/>
  <c r="C73" i="1"/>
  <c r="D72" i="1" a="1"/>
  <c r="D72" i="1" s="1"/>
  <c r="D14" i="1" a="1"/>
  <c r="D14" i="1" s="1"/>
  <c r="C15" i="1"/>
  <c r="D104" i="1" a="1"/>
  <c r="D104" i="1" s="1"/>
  <c r="C105" i="1"/>
  <c r="C37" i="1"/>
  <c r="D37" i="1" s="1" a="1"/>
  <c r="D37" i="1" s="1"/>
  <c r="C200" i="1" l="1"/>
  <c r="D199" i="1" a="1"/>
  <c r="D199" i="1" s="1"/>
  <c r="C38" i="1"/>
  <c r="D38" i="1" s="1" a="1"/>
  <c r="D38" i="1" s="1"/>
  <c r="C74" i="1"/>
  <c r="D73" i="1" a="1"/>
  <c r="D73" i="1" s="1"/>
  <c r="D15" i="1" a="1"/>
  <c r="D15" i="1" s="1"/>
  <c r="C16" i="1"/>
  <c r="D105" i="1" a="1"/>
  <c r="D105" i="1" s="1"/>
  <c r="C106" i="1"/>
  <c r="D200" i="1" l="1" a="1"/>
  <c r="D200" i="1" s="1"/>
  <c r="C201" i="1"/>
  <c r="C75" i="1"/>
  <c r="D74" i="1" a="1"/>
  <c r="D74" i="1" s="1"/>
  <c r="D16" i="1" a="1"/>
  <c r="D16" i="1" s="1"/>
  <c r="C17" i="1"/>
  <c r="C107" i="1"/>
  <c r="D106" i="1" a="1"/>
  <c r="D106" i="1" s="1"/>
  <c r="D31" i="1" a="1"/>
  <c r="D31" i="1" s="1"/>
  <c r="C202" i="1" l="1"/>
  <c r="D201" i="1" a="1"/>
  <c r="D201" i="1" s="1"/>
  <c r="D75" i="1" a="1"/>
  <c r="D75" i="1" s="1"/>
  <c r="C76" i="1"/>
  <c r="D17" i="1" a="1"/>
  <c r="D17" i="1" s="1"/>
  <c r="C18" i="1"/>
  <c r="C108" i="1"/>
  <c r="D107" i="1" a="1"/>
  <c r="D107" i="1" s="1"/>
  <c r="C32" i="1"/>
  <c r="D32" i="1" s="1" a="1"/>
  <c r="D32" i="1" s="1"/>
  <c r="C203" i="1" l="1"/>
  <c r="D202" i="1" a="1"/>
  <c r="D202" i="1" s="1"/>
  <c r="C77" i="1"/>
  <c r="D76" i="1" a="1"/>
  <c r="D76" i="1" s="1"/>
  <c r="D18" i="1" a="1"/>
  <c r="D18" i="1" s="1"/>
  <c r="C19" i="1"/>
  <c r="C109" i="1"/>
  <c r="D108" i="1" a="1"/>
  <c r="D108" i="1" s="1"/>
  <c r="C33" i="1"/>
  <c r="D33" i="1" s="1" a="1"/>
  <c r="D33" i="1" s="1"/>
  <c r="C204" i="1" l="1"/>
  <c r="D203" i="1" a="1"/>
  <c r="D203" i="1" s="1"/>
  <c r="C78" i="1"/>
  <c r="D77" i="1" a="1"/>
  <c r="D77" i="1" s="1"/>
  <c r="C20" i="1"/>
  <c r="D19" i="1" a="1"/>
  <c r="D19" i="1" s="1"/>
  <c r="C110" i="1"/>
  <c r="D109" i="1" a="1"/>
  <c r="D109" i="1" s="1"/>
  <c r="C34" i="1"/>
  <c r="D34" i="1" s="1" a="1"/>
  <c r="D34" i="1" s="1"/>
  <c r="D204" i="1" l="1" a="1"/>
  <c r="D204" i="1" s="1"/>
  <c r="C205" i="1"/>
  <c r="C79" i="1"/>
  <c r="D78" i="1" a="1"/>
  <c r="D78" i="1" s="1"/>
  <c r="C21" i="1"/>
  <c r="D20" i="1" a="1"/>
  <c r="D20" i="1" s="1"/>
  <c r="C111" i="1"/>
  <c r="D110" i="1" a="1"/>
  <c r="D110" i="1" s="1"/>
  <c r="C35" i="1"/>
  <c r="D35" i="1" s="1" a="1"/>
  <c r="D35" i="1" s="1"/>
  <c r="C206" i="1" l="1"/>
  <c r="D205" i="1" a="1"/>
  <c r="D205" i="1" s="1"/>
  <c r="C80" i="1"/>
  <c r="D79" i="1" a="1"/>
  <c r="D79" i="1" s="1"/>
  <c r="D21" i="1" a="1"/>
  <c r="D21" i="1" s="1"/>
  <c r="C22" i="1"/>
  <c r="C112" i="1"/>
  <c r="D111" i="1" a="1"/>
  <c r="D111" i="1" s="1"/>
  <c r="D206" i="1" l="1" a="1"/>
  <c r="D206" i="1" s="1"/>
  <c r="C207" i="1"/>
  <c r="C81" i="1"/>
  <c r="D80" i="1" a="1"/>
  <c r="D80" i="1" s="1"/>
  <c r="D22" i="1" a="1"/>
  <c r="D22" i="1" s="1"/>
  <c r="C23" i="1"/>
  <c r="D112" i="1" a="1"/>
  <c r="D112" i="1" s="1"/>
  <c r="C113" i="1"/>
  <c r="D207" i="1" l="1" a="1"/>
  <c r="D207" i="1" s="1"/>
  <c r="C208" i="1"/>
  <c r="C82" i="1"/>
  <c r="D81" i="1" a="1"/>
  <c r="D81" i="1" s="1"/>
  <c r="D23" i="1" a="1"/>
  <c r="D23" i="1" s="1"/>
  <c r="C24" i="1"/>
  <c r="D113" i="1" a="1"/>
  <c r="D113" i="1" s="1"/>
  <c r="C114" i="1"/>
  <c r="C209" i="1" l="1"/>
  <c r="D208" i="1" a="1"/>
  <c r="D208" i="1" s="1"/>
  <c r="C83" i="1"/>
  <c r="D82" i="1" a="1"/>
  <c r="D82" i="1" s="1"/>
  <c r="D24" i="1" a="1"/>
  <c r="D24" i="1" s="1"/>
  <c r="C25" i="1"/>
  <c r="C115" i="1"/>
  <c r="D114" i="1" a="1"/>
  <c r="D114" i="1" s="1"/>
  <c r="D209" i="1" l="1" a="1"/>
  <c r="D209" i="1" s="1"/>
  <c r="C210" i="1"/>
  <c r="D83" i="1" a="1"/>
  <c r="D83" i="1" s="1"/>
  <c r="C84" i="1"/>
  <c r="D25" i="1" a="1"/>
  <c r="D25" i="1" s="1"/>
  <c r="C26" i="1"/>
  <c r="C116" i="1"/>
  <c r="D115" i="1" a="1"/>
  <c r="D115" i="1" s="1"/>
  <c r="C211" i="1" l="1"/>
  <c r="D210" i="1" a="1"/>
  <c r="D210" i="1" s="1"/>
  <c r="C85" i="1"/>
  <c r="D84" i="1" a="1"/>
  <c r="D84" i="1" s="1"/>
  <c r="C27" i="1"/>
  <c r="D26" i="1" a="1"/>
  <c r="D26" i="1" s="1"/>
  <c r="C117" i="1"/>
  <c r="D116" i="1" a="1"/>
  <c r="D116" i="1" s="1"/>
  <c r="D211" i="1" l="1" a="1"/>
  <c r="D211" i="1" s="1"/>
  <c r="C212" i="1"/>
  <c r="C86" i="1"/>
  <c r="D85" i="1" a="1"/>
  <c r="D85" i="1" s="1"/>
  <c r="C28" i="1"/>
  <c r="D27" i="1" a="1"/>
  <c r="D27" i="1" s="1"/>
  <c r="C118" i="1"/>
  <c r="D117" i="1" a="1"/>
  <c r="D117" i="1" s="1"/>
  <c r="C213" i="1" l="1"/>
  <c r="D212" i="1" a="1"/>
  <c r="D212" i="1" s="1"/>
  <c r="C87" i="1"/>
  <c r="D86" i="1" a="1"/>
  <c r="D86" i="1" s="1"/>
  <c r="C29" i="1"/>
  <c r="D28" i="1" a="1"/>
  <c r="D28" i="1" s="1"/>
  <c r="C119" i="1"/>
  <c r="D118" i="1" a="1"/>
  <c r="D118" i="1" s="1"/>
  <c r="D213" i="1" l="1" a="1"/>
  <c r="D213" i="1" s="1"/>
  <c r="C214" i="1"/>
  <c r="C88" i="1"/>
  <c r="D87" i="1" a="1"/>
  <c r="D87" i="1" s="1"/>
  <c r="C30" i="1"/>
  <c r="D30" i="1" s="1" a="1"/>
  <c r="D30" i="1" s="1"/>
  <c r="D29" i="1" a="1"/>
  <c r="D29" i="1" s="1"/>
  <c r="D119" i="1" a="1"/>
  <c r="D119" i="1" s="1"/>
  <c r="C120" i="1"/>
  <c r="C215" i="1" l="1"/>
  <c r="D214" i="1" a="1"/>
  <c r="D214" i="1" s="1"/>
  <c r="C89" i="1"/>
  <c r="D89" i="1" s="1" a="1"/>
  <c r="D89" i="1" s="1"/>
  <c r="D88" i="1" a="1"/>
  <c r="D88" i="1" s="1"/>
  <c r="D120" i="1" a="1"/>
  <c r="D120" i="1" s="1"/>
  <c r="C121" i="1"/>
  <c r="D215" i="1" l="1" a="1"/>
  <c r="D215" i="1" s="1"/>
  <c r="C216" i="1"/>
  <c r="D121" i="1" a="1"/>
  <c r="D121" i="1" s="1"/>
  <c r="C122" i="1"/>
  <c r="D216" i="1" l="1" a="1"/>
  <c r="D216" i="1" s="1"/>
  <c r="C217" i="1"/>
  <c r="D122" i="1" a="1"/>
  <c r="D122" i="1" s="1"/>
  <c r="C123" i="1"/>
  <c r="D217" i="1" l="1" a="1"/>
  <c r="D217" i="1" s="1"/>
  <c r="C218" i="1"/>
  <c r="C124" i="1"/>
  <c r="D123" i="1" a="1"/>
  <c r="D123" i="1" s="1"/>
  <c r="C219" i="1" l="1"/>
  <c r="D218" i="1" a="1"/>
  <c r="D218" i="1" s="1"/>
  <c r="C125" i="1"/>
  <c r="D124" i="1" a="1"/>
  <c r="D124" i="1" s="1"/>
  <c r="D219" i="1" l="1" a="1"/>
  <c r="D219" i="1" s="1"/>
  <c r="C220" i="1"/>
  <c r="C126" i="1"/>
  <c r="D125" i="1" a="1"/>
  <c r="D125" i="1" s="1"/>
  <c r="D220" i="1" l="1" a="1"/>
  <c r="D220" i="1" s="1"/>
  <c r="C221" i="1"/>
  <c r="C127" i="1"/>
  <c r="D126" i="1" a="1"/>
  <c r="D126" i="1" s="1"/>
  <c r="C222" i="1" l="1"/>
  <c r="D221" i="1" a="1"/>
  <c r="D221" i="1" s="1"/>
  <c r="C128" i="1"/>
  <c r="D127" i="1" a="1"/>
  <c r="D127" i="1" s="1"/>
  <c r="D222" i="1" l="1" a="1"/>
  <c r="D222" i="1" s="1"/>
  <c r="C223" i="1"/>
  <c r="D128" i="1" a="1"/>
  <c r="D128" i="1" s="1"/>
  <c r="C129" i="1"/>
  <c r="C224" i="1" l="1"/>
  <c r="D223" i="1" a="1"/>
  <c r="D223" i="1" s="1"/>
  <c r="D129" i="1" a="1"/>
  <c r="D129" i="1" s="1"/>
  <c r="C130" i="1"/>
  <c r="C225" i="1" l="1"/>
  <c r="D224" i="1" a="1"/>
  <c r="D224" i="1" s="1"/>
  <c r="D130" i="1" a="1"/>
  <c r="D130" i="1" s="1"/>
  <c r="C131" i="1"/>
  <c r="C226" i="1" l="1"/>
  <c r="D225" i="1" a="1"/>
  <c r="D225" i="1" s="1"/>
  <c r="C132" i="1"/>
  <c r="D131" i="1" a="1"/>
  <c r="D131" i="1" s="1"/>
  <c r="C227" i="1" l="1"/>
  <c r="D226" i="1" a="1"/>
  <c r="D226" i="1" s="1"/>
  <c r="C133" i="1"/>
  <c r="D132" i="1" a="1"/>
  <c r="D132" i="1" s="1"/>
  <c r="D227" i="1" l="1" a="1"/>
  <c r="D227" i="1" s="1"/>
  <c r="C228" i="1"/>
  <c r="C134" i="1"/>
  <c r="D133" i="1" a="1"/>
  <c r="D133" i="1" s="1"/>
  <c r="C229" i="1" l="1"/>
  <c r="D228" i="1" a="1"/>
  <c r="D228" i="1" s="1"/>
  <c r="C135" i="1"/>
  <c r="D134" i="1" a="1"/>
  <c r="D134" i="1" s="1"/>
  <c r="C230" i="1" l="1"/>
  <c r="D229" i="1" a="1"/>
  <c r="D229" i="1" s="1"/>
  <c r="D135" i="1" a="1"/>
  <c r="D135" i="1" s="1"/>
  <c r="C136" i="1"/>
  <c r="C231" i="1" l="1"/>
  <c r="D230" i="1" a="1"/>
  <c r="D230" i="1" s="1"/>
  <c r="D136" i="1" a="1"/>
  <c r="D136" i="1" s="1"/>
  <c r="C137" i="1"/>
  <c r="C232" i="1" l="1"/>
  <c r="D231" i="1" a="1"/>
  <c r="D231" i="1" s="1"/>
  <c r="D137" i="1" a="1"/>
  <c r="D137" i="1" s="1"/>
  <c r="C138" i="1"/>
  <c r="D232" i="1" l="1" a="1"/>
  <c r="D232" i="1" s="1"/>
  <c r="C233" i="1"/>
  <c r="D138" i="1" a="1"/>
  <c r="D138" i="1" s="1"/>
  <c r="C139" i="1"/>
  <c r="C234" i="1" l="1"/>
  <c r="D233" i="1" a="1"/>
  <c r="D233" i="1" s="1"/>
  <c r="C140" i="1"/>
  <c r="D139" i="1" a="1"/>
  <c r="D139" i="1" s="1"/>
  <c r="C235" i="1" l="1"/>
  <c r="D234" i="1" a="1"/>
  <c r="D234" i="1" s="1"/>
  <c r="C141" i="1"/>
  <c r="D140" i="1" a="1"/>
  <c r="D140" i="1" s="1"/>
  <c r="D235" i="1" l="1" a="1"/>
  <c r="D235" i="1" s="1"/>
  <c r="C236" i="1"/>
  <c r="C142" i="1"/>
  <c r="D141" i="1" a="1"/>
  <c r="D141" i="1" s="1"/>
  <c r="C237" i="1" l="1"/>
  <c r="D236" i="1" a="1"/>
  <c r="D236" i="1" s="1"/>
  <c r="C143" i="1"/>
  <c r="D142" i="1" a="1"/>
  <c r="D142" i="1" s="1"/>
  <c r="C238" i="1" l="1"/>
  <c r="D237" i="1" a="1"/>
  <c r="D237" i="1" s="1"/>
  <c r="D143" i="1" a="1"/>
  <c r="D143" i="1" s="1"/>
  <c r="C144" i="1"/>
  <c r="D238" i="1" l="1" a="1"/>
  <c r="D238" i="1" s="1"/>
  <c r="C239" i="1"/>
  <c r="D144" i="1" a="1"/>
  <c r="D144" i="1" s="1"/>
  <c r="C145" i="1"/>
  <c r="D239" i="1" l="1" a="1"/>
  <c r="D239" i="1" s="1"/>
  <c r="C240" i="1"/>
  <c r="D145" i="1" a="1"/>
  <c r="D145" i="1" s="1"/>
  <c r="C146" i="1"/>
  <c r="D240" i="1" l="1" a="1"/>
  <c r="D240" i="1" s="1"/>
  <c r="C241" i="1"/>
  <c r="D146" i="1" a="1"/>
  <c r="D146" i="1" s="1"/>
  <c r="C147" i="1"/>
  <c r="C242" i="1" l="1"/>
  <c r="D241" i="1" a="1"/>
  <c r="D241" i="1" s="1"/>
  <c r="C148" i="1"/>
  <c r="D147" i="1" a="1"/>
  <c r="D147" i="1" s="1"/>
  <c r="C243" i="1" l="1"/>
  <c r="D242" i="1" a="1"/>
  <c r="D242" i="1" s="1"/>
  <c r="C149" i="1"/>
  <c r="D148" i="1" a="1"/>
  <c r="D148" i="1" s="1"/>
  <c r="D243" i="1" l="1" a="1"/>
  <c r="D243" i="1" s="1"/>
  <c r="C244" i="1"/>
  <c r="C150" i="1"/>
  <c r="D149" i="1" a="1"/>
  <c r="D149" i="1" s="1"/>
  <c r="C245" i="1" l="1"/>
  <c r="D244" i="1" a="1"/>
  <c r="D244" i="1" s="1"/>
  <c r="C151" i="1"/>
  <c r="D150" i="1" a="1"/>
  <c r="D150" i="1" s="1"/>
  <c r="C246" i="1" l="1"/>
  <c r="D245" i="1" a="1"/>
  <c r="D245" i="1" s="1"/>
  <c r="C152" i="1"/>
  <c r="D151" i="1" a="1"/>
  <c r="D151" i="1" s="1"/>
  <c r="C247" i="1" l="1"/>
  <c r="D246" i="1" a="1"/>
  <c r="D246" i="1" s="1"/>
  <c r="D152" i="1" a="1"/>
  <c r="D152" i="1" s="1"/>
  <c r="C153" i="1"/>
  <c r="C248" i="1" l="1"/>
  <c r="D247" i="1" a="1"/>
  <c r="D247" i="1" s="1"/>
  <c r="D153" i="1" a="1"/>
  <c r="D153" i="1" s="1"/>
  <c r="C154" i="1"/>
  <c r="C249" i="1" l="1"/>
  <c r="D248" i="1" a="1"/>
  <c r="D248" i="1" s="1"/>
  <c r="D154" i="1" a="1"/>
  <c r="D154" i="1" s="1"/>
  <c r="C155" i="1"/>
  <c r="D249" i="1" l="1" a="1"/>
  <c r="D249" i="1" s="1"/>
  <c r="C250" i="1"/>
  <c r="C156" i="1"/>
  <c r="D155" i="1" a="1"/>
  <c r="D155" i="1" s="1"/>
  <c r="D250" i="1" l="1" a="1"/>
  <c r="D250" i="1" s="1"/>
  <c r="C251" i="1"/>
  <c r="C157" i="1"/>
  <c r="D156" i="1" a="1"/>
  <c r="D156" i="1" s="1"/>
  <c r="D251" i="1" l="1" a="1"/>
  <c r="D251" i="1" s="1"/>
  <c r="C252" i="1"/>
  <c r="C158" i="1"/>
  <c r="D157" i="1" a="1"/>
  <c r="D157" i="1" s="1"/>
  <c r="D252" i="1" l="1" a="1"/>
  <c r="D252" i="1" s="1"/>
  <c r="C253" i="1"/>
  <c r="C159" i="1"/>
  <c r="D158" i="1" a="1"/>
  <c r="D158" i="1" s="1"/>
  <c r="C254" i="1" l="1"/>
  <c r="D253" i="1" a="1"/>
  <c r="D253" i="1" s="1"/>
  <c r="D159" i="1" a="1"/>
  <c r="D159" i="1" s="1"/>
  <c r="C160" i="1"/>
  <c r="C39" i="1"/>
  <c r="D39" i="1" s="1" a="1"/>
  <c r="D39" i="1" s="1"/>
  <c r="C40" i="1"/>
  <c r="D40" i="1" s="1" a="1"/>
  <c r="D40" i="1" s="1"/>
  <c r="C255" i="1" l="1"/>
  <c r="D254" i="1" a="1"/>
  <c r="D254" i="1" s="1"/>
  <c r="C41" i="1"/>
  <c r="D160" i="1" a="1"/>
  <c r="D160" i="1" s="1"/>
  <c r="C161" i="1"/>
  <c r="C256" i="1" l="1"/>
  <c r="D255" i="1" a="1"/>
  <c r="D255" i="1" s="1"/>
  <c r="C42" i="1"/>
  <c r="D41" i="1" a="1"/>
  <c r="D41" i="1" s="1"/>
  <c r="D161" i="1" a="1"/>
  <c r="D161" i="1" s="1"/>
  <c r="C162" i="1"/>
  <c r="C257" i="1" l="1"/>
  <c r="D256" i="1" a="1"/>
  <c r="D256" i="1" s="1"/>
  <c r="D42" i="1" a="1"/>
  <c r="D42" i="1" s="1"/>
  <c r="C43" i="1"/>
  <c r="D162" i="1" a="1"/>
  <c r="D162" i="1" s="1"/>
  <c r="C163" i="1"/>
  <c r="D2" i="1" a="1"/>
  <c r="D2" i="1" s="1"/>
  <c r="C258" i="1" l="1"/>
  <c r="D257" i="1" a="1"/>
  <c r="D257" i="1" s="1"/>
  <c r="D43" i="1" a="1"/>
  <c r="D43" i="1" s="1"/>
  <c r="C44" i="1"/>
  <c r="C164" i="1"/>
  <c r="D163" i="1" a="1"/>
  <c r="D163" i="1" s="1"/>
  <c r="D3" i="1" a="1"/>
  <c r="D3" i="1" s="1"/>
  <c r="C259" i="1" l="1"/>
  <c r="D258" i="1" a="1"/>
  <c r="D258" i="1" s="1"/>
  <c r="D44" i="1" a="1"/>
  <c r="D44" i="1" s="1"/>
  <c r="C45" i="1"/>
  <c r="C165" i="1"/>
  <c r="D164" i="1" a="1"/>
  <c r="D164" i="1" s="1"/>
  <c r="D4" i="1" a="1"/>
  <c r="D4" i="1" s="1"/>
  <c r="C260" i="1" l="1"/>
  <c r="D259" i="1" a="1"/>
  <c r="D259" i="1" s="1"/>
  <c r="D45" i="1" a="1"/>
  <c r="D45" i="1" s="1"/>
  <c r="C46" i="1"/>
  <c r="C166" i="1"/>
  <c r="D165" i="1" a="1"/>
  <c r="D165" i="1" s="1"/>
  <c r="D5" i="1" a="1"/>
  <c r="D5" i="1" s="1"/>
  <c r="C261" i="1" l="1"/>
  <c r="D260" i="1" a="1"/>
  <c r="D260" i="1" s="1"/>
  <c r="D46" i="1" a="1"/>
  <c r="D46" i="1" s="1"/>
  <c r="C47" i="1"/>
  <c r="C167" i="1"/>
  <c r="D166" i="1" a="1"/>
  <c r="D166" i="1" s="1"/>
  <c r="D6" i="1" a="1"/>
  <c r="D6" i="1" s="1"/>
  <c r="C262" i="1" l="1"/>
  <c r="D261" i="1" a="1"/>
  <c r="D261" i="1" s="1"/>
  <c r="D47" i="1" a="1"/>
  <c r="D47" i="1" s="1"/>
  <c r="C48" i="1"/>
  <c r="D167" i="1" a="1"/>
  <c r="D167" i="1" s="1"/>
  <c r="C168" i="1"/>
  <c r="C263" i="1" l="1"/>
  <c r="D262" i="1" a="1"/>
  <c r="D262" i="1" s="1"/>
  <c r="D48" i="1" a="1"/>
  <c r="D48" i="1" s="1"/>
  <c r="C49" i="1"/>
  <c r="D168" i="1" a="1"/>
  <c r="D168" i="1" s="1"/>
  <c r="C169" i="1"/>
  <c r="C264" i="1" l="1"/>
  <c r="D263" i="1" a="1"/>
  <c r="D263" i="1" s="1"/>
  <c r="D49" i="1" a="1"/>
  <c r="D49" i="1" s="1"/>
  <c r="C50" i="1"/>
  <c r="D169" i="1" a="1"/>
  <c r="D169" i="1" s="1"/>
  <c r="C170" i="1"/>
  <c r="C265" i="1" l="1"/>
  <c r="D264" i="1" a="1"/>
  <c r="D264" i="1" s="1"/>
  <c r="D50" i="1" a="1"/>
  <c r="D50" i="1" s="1"/>
  <c r="C51" i="1"/>
  <c r="C171" i="1"/>
  <c r="D170" i="1" a="1"/>
  <c r="D170" i="1" s="1"/>
  <c r="C266" i="1" l="1"/>
  <c r="D265" i="1" a="1"/>
  <c r="D265" i="1" s="1"/>
  <c r="D51" i="1" a="1"/>
  <c r="D51" i="1" s="1"/>
  <c r="C52" i="1"/>
  <c r="C172" i="1"/>
  <c r="D171" i="1" a="1"/>
  <c r="D171" i="1" s="1"/>
  <c r="C267" i="1" l="1"/>
  <c r="D266" i="1" a="1"/>
  <c r="D266" i="1" s="1"/>
  <c r="D52" i="1" a="1"/>
  <c r="D52" i="1" s="1"/>
  <c r="C53" i="1"/>
  <c r="C173" i="1"/>
  <c r="D172" i="1" a="1"/>
  <c r="D172" i="1" s="1"/>
  <c r="C268" i="1" l="1"/>
  <c r="D267" i="1" a="1"/>
  <c r="D267" i="1" s="1"/>
  <c r="D53" i="1" a="1"/>
  <c r="D53" i="1" s="1"/>
  <c r="C54" i="1"/>
  <c r="C174" i="1"/>
  <c r="D173" i="1" a="1"/>
  <c r="D173" i="1" s="1"/>
  <c r="C269" i="1" l="1"/>
  <c r="D268" i="1" a="1"/>
  <c r="D268" i="1" s="1"/>
  <c r="D54" i="1" a="1"/>
  <c r="D54" i="1" s="1"/>
  <c r="C55" i="1"/>
  <c r="C175" i="1"/>
  <c r="D174" i="1" a="1"/>
  <c r="D174" i="1" s="1"/>
  <c r="C270" i="1" l="1"/>
  <c r="D269" i="1" a="1"/>
  <c r="D269" i="1" s="1"/>
  <c r="D55" i="1" a="1"/>
  <c r="D55" i="1" s="1"/>
  <c r="C56" i="1"/>
  <c r="D175" i="1" a="1"/>
  <c r="D175" i="1" s="1"/>
  <c r="C176" i="1"/>
  <c r="C271" i="1" l="1"/>
  <c r="D270" i="1" a="1"/>
  <c r="D270" i="1" s="1"/>
  <c r="D56" i="1" a="1"/>
  <c r="D56" i="1" s="1"/>
  <c r="C57" i="1"/>
  <c r="D176" i="1" a="1"/>
  <c r="D176" i="1" s="1"/>
  <c r="C177" i="1"/>
  <c r="C272" i="1" l="1"/>
  <c r="D271" i="1" a="1"/>
  <c r="D271" i="1" s="1"/>
  <c r="D57" i="1" a="1"/>
  <c r="D57" i="1" s="1"/>
  <c r="C58" i="1"/>
  <c r="D58" i="1" s="1" a="1"/>
  <c r="D58" i="1" s="1"/>
  <c r="D177" i="1" a="1"/>
  <c r="D177" i="1" s="1"/>
  <c r="C178" i="1"/>
  <c r="D60" i="1" a="1"/>
  <c r="D60" i="1" s="1"/>
  <c r="C273" i="1" l="1"/>
  <c r="D272" i="1" a="1"/>
  <c r="D272" i="1" s="1"/>
  <c r="D178" i="1" a="1"/>
  <c r="D178" i="1" s="1"/>
  <c r="C179" i="1"/>
  <c r="D61" i="1" a="1"/>
  <c r="D61" i="1" s="1"/>
  <c r="C274" i="1" l="1"/>
  <c r="D273" i="1" a="1"/>
  <c r="D273" i="1" s="1"/>
  <c r="C180" i="1"/>
  <c r="D179" i="1" a="1"/>
  <c r="D179" i="1" s="1"/>
  <c r="D62" i="1" a="1"/>
  <c r="D62" i="1" s="1"/>
  <c r="C275" i="1" l="1"/>
  <c r="D274" i="1" a="1"/>
  <c r="D274" i="1" s="1"/>
  <c r="C181" i="1"/>
  <c r="D180" i="1" a="1"/>
  <c r="D180" i="1" s="1"/>
  <c r="D63" i="1" a="1"/>
  <c r="D63" i="1" s="1"/>
  <c r="C276" i="1" l="1"/>
  <c r="D275" i="1" a="1"/>
  <c r="D275" i="1" s="1"/>
  <c r="C182" i="1"/>
  <c r="D181" i="1" a="1"/>
  <c r="D181" i="1" s="1"/>
  <c r="D64" i="1" a="1"/>
  <c r="D64" i="1" s="1"/>
  <c r="C277" i="1" l="1"/>
  <c r="D276" i="1" a="1"/>
  <c r="D276" i="1" s="1"/>
  <c r="C183" i="1"/>
  <c r="D182" i="1" a="1"/>
  <c r="D182" i="1" s="1"/>
  <c r="C278" i="1" l="1"/>
  <c r="D277" i="1" a="1"/>
  <c r="D277" i="1" s="1"/>
  <c r="C184" i="1"/>
  <c r="D183" i="1" a="1"/>
  <c r="D183" i="1" s="1"/>
  <c r="C279" i="1" l="1"/>
  <c r="D278" i="1" a="1"/>
  <c r="D278" i="1" s="1"/>
  <c r="D184" i="1" a="1"/>
  <c r="D184" i="1" s="1"/>
  <c r="C185" i="1"/>
  <c r="C280" i="1" l="1"/>
  <c r="D279" i="1" a="1"/>
  <c r="D279" i="1" s="1"/>
  <c r="D185" i="1" a="1"/>
  <c r="D185" i="1" s="1"/>
  <c r="C186" i="1"/>
  <c r="D186" i="1" s="1" a="1"/>
  <c r="D186" i="1" s="1"/>
  <c r="D280" i="1" l="1" a="1"/>
  <c r="D280" i="1" s="1"/>
  <c r="C281" i="1"/>
  <c r="D281" i="1" s="1" a="1"/>
  <c r="D28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29A9F-452F-4939-8656-4EC75778E935}" keepAlive="1" name="Query - Tingkatan 1" description="Connection to the 'Tingkatan 1' query in the workbook." type="5" refreshedVersion="7" background="1" saveData="1">
    <dbPr connection="Provider=Microsoft.Mashup.OleDb.1;Data Source=$Workbook$;Location=&quot;Tingkatan 1&quot;;Extended Properties=&quot;&quot;" command="SELECT * FROM [Tingkatan 1]"/>
  </connection>
  <connection id="2" xr16:uid="{676AD537-61E3-4D35-A8D7-5DBCD0C8DFAD}" keepAlive="1" name="Query - Tingkatan 2" description="Connection to the 'Tingkatan 2' query in the workbook." type="5" refreshedVersion="7" background="1" saveData="1">
    <dbPr connection="Provider=Microsoft.Mashup.OleDb.1;Data Source=$Workbook$;Location=&quot;Tingkatan 2&quot;;Extended Properties=&quot;&quot;" command="SELECT * FROM [Tingkatan 2]"/>
  </connection>
  <connection id="3" xr16:uid="{1CB58E83-E350-4935-ABF0-A298D2498C19}" keepAlive="1" name="Query - Tingkatan 3" description="Connection to the 'Tingkatan 3' query in the workbook." type="5" refreshedVersion="7" background="1" saveData="1">
    <dbPr connection="Provider=Microsoft.Mashup.OleDb.1;Data Source=$Workbook$;Location=&quot;Tingkatan 3&quot;;Extended Properties=&quot;&quot;" command="SELECT * FROM [Tingkatan 3]"/>
  </connection>
  <connection id="4" xr16:uid="{4893B011-FB82-488C-8A7B-EC2178E0B4D1}" keepAlive="1" name="Query - Tingkatan 4" description="Connection to the 'Tingkatan 4' query in the workbook." type="5" refreshedVersion="7" background="1" saveData="1">
    <dbPr connection="Provider=Microsoft.Mashup.OleDb.1;Data Source=$Workbook$;Location=&quot;Tingkatan 4&quot;;Extended Properties=&quot;&quot;" command="SELECT * FROM [Tingkatan 4]"/>
  </connection>
  <connection id="5" xr16:uid="{7F111C53-736A-419A-AB60-888D3CCE0B43}" keepAlive="1" name="Query - Tingkatan 5" description="Connection to the 'Tingkatan 5' query in the workbook." type="5" refreshedVersion="7" background="1" saveData="1">
    <dbPr connection="Provider=Microsoft.Mashup.OleDb.1;Data Source=$Workbook$;Location=&quot;Tingkatan 5&quot;;Extended Properties=&quot;&quot;" command="SELECT * FROM [Tingkatan 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<sst xmlns="http://schemas.openxmlformats.org/spreadsheetml/2006/main" count="15421" uniqueCount="432">
  <si>
    <t>id</t>
  </si>
  <si>
    <t>schoolLevelName</t>
  </si>
  <si>
    <t>subjectName</t>
  </si>
  <si>
    <t>bookId</t>
  </si>
  <si>
    <t>studentLevel</t>
  </si>
  <si>
    <t>schoolLevel</t>
  </si>
  <si>
    <t>studentLevelName</t>
  </si>
  <si>
    <t>Bahasa Melayu</t>
  </si>
  <si>
    <t>SM</t>
  </si>
  <si>
    <t>English</t>
  </si>
  <si>
    <t>Pulse 2</t>
  </si>
  <si>
    <t>Matematik</t>
  </si>
  <si>
    <t>dlpStatus</t>
  </si>
  <si>
    <t>Sains</t>
  </si>
  <si>
    <t>Mathematics DLP</t>
  </si>
  <si>
    <t>displayName</t>
  </si>
  <si>
    <t>Science DLP</t>
  </si>
  <si>
    <t>Geografi</t>
  </si>
  <si>
    <t>Sejarah</t>
  </si>
  <si>
    <t>Reka Bentuk dan Teknologi</t>
  </si>
  <si>
    <t>TB1</t>
  </si>
  <si>
    <t>Asas Sains Komputer</t>
  </si>
  <si>
    <t>TB2</t>
  </si>
  <si>
    <t>TB3</t>
  </si>
  <si>
    <t>Pendidikan Seni Visual</t>
  </si>
  <si>
    <t>Pendidikan Islam</t>
  </si>
  <si>
    <t>Pendidikan Jasmani dan Pendidikan Kesihatan</t>
  </si>
  <si>
    <t>Pendidikan Moral</t>
  </si>
  <si>
    <t>Bahasa Arab</t>
  </si>
  <si>
    <t>Bahasa Cina Komunikasi</t>
  </si>
  <si>
    <t>Bahasa Cina</t>
  </si>
  <si>
    <t>Bahasa Semai</t>
  </si>
  <si>
    <t>Bahasa Jepun (Menengah Rendah)</t>
  </si>
  <si>
    <t>Bahasa Tamil</t>
  </si>
  <si>
    <t>silibusCode</t>
  </si>
  <si>
    <t>silibusName</t>
  </si>
  <si>
    <t>KSSM</t>
  </si>
  <si>
    <t>Al-Syariah</t>
  </si>
  <si>
    <t>KBDKBT</t>
  </si>
  <si>
    <t>Usul Al-Din</t>
  </si>
  <si>
    <t>Daftar Hifz Al-Quran</t>
  </si>
  <si>
    <t>Maharat Al-Quran</t>
  </si>
  <si>
    <t>Seni Muzik</t>
  </si>
  <si>
    <t>Seni Tari</t>
  </si>
  <si>
    <t>Seni Teater</t>
  </si>
  <si>
    <t>Seni Visual</t>
  </si>
  <si>
    <t>SSeM</t>
  </si>
  <si>
    <t>Pendidikan Muzik</t>
  </si>
  <si>
    <t>Bahasa Kadazandusun</t>
  </si>
  <si>
    <t>Al-Lughah Al-Arabiah Al-Muasirah</t>
  </si>
  <si>
    <t>Close-Up B1 Student's Edition</t>
  </si>
  <si>
    <t>Bahasa Iban</t>
  </si>
  <si>
    <t>bookStatus</t>
  </si>
  <si>
    <t>Full Blast Plus 4</t>
  </si>
  <si>
    <t>Sains Komputer</t>
  </si>
  <si>
    <t>Matematik Tambahan</t>
  </si>
  <si>
    <t>Additional Mathematics DLP</t>
  </si>
  <si>
    <t>Prinsip Perakaunan</t>
  </si>
  <si>
    <t>Biologi</t>
  </si>
  <si>
    <t>Biology DLP</t>
  </si>
  <si>
    <t>Kimia</t>
  </si>
  <si>
    <t>Chemistry DLP</t>
  </si>
  <si>
    <t>Fizik</t>
  </si>
  <si>
    <t>Physics DLP</t>
  </si>
  <si>
    <t>Reka Cipta</t>
  </si>
  <si>
    <t>Pendidikan Syariah Islamiyah</t>
  </si>
  <si>
    <t>Pendidikan Al-Quran dan Al-Sunnah</t>
  </si>
  <si>
    <t>Perniagaan</t>
  </si>
  <si>
    <t>Ekonomi</t>
  </si>
  <si>
    <t>Sains Sukan</t>
  </si>
  <si>
    <t>Bahasa Jepun Tingkatan 4 dan 5</t>
  </si>
  <si>
    <t>Additional Science DLP</t>
  </si>
  <si>
    <t>Sains Tambahan</t>
  </si>
  <si>
    <t>Mingjia Xiaoshuoxuan</t>
  </si>
  <si>
    <t>KC</t>
  </si>
  <si>
    <t>Qiyuan</t>
  </si>
  <si>
    <t>Wenxuan</t>
  </si>
  <si>
    <t>Tasawwur Islam</t>
  </si>
  <si>
    <t>Bahasa Melayu Komunikasi</t>
  </si>
  <si>
    <t>English For Communication</t>
  </si>
  <si>
    <t>KSSMPK</t>
  </si>
  <si>
    <t>Asas Kelestarian</t>
  </si>
  <si>
    <t>Grafik Komunikasi Teknikal</t>
  </si>
  <si>
    <t>Pertanian</t>
  </si>
  <si>
    <t>Sains Rumah Tangga</t>
  </si>
  <si>
    <t>MPET</t>
  </si>
  <si>
    <t>Hiasan Dalaman</t>
  </si>
  <si>
    <t>Katering dan Penyajian</t>
  </si>
  <si>
    <t>Landskap dan Nurseri</t>
  </si>
  <si>
    <t>Menservis Automobil</t>
  </si>
  <si>
    <t>Menservis Peralatan Elektrik Domestik</t>
  </si>
  <si>
    <t>Produksi Multimedia</t>
  </si>
  <si>
    <t>Produksi Reka Tanda</t>
  </si>
  <si>
    <t>Reka Bentik Grafik Digital</t>
  </si>
  <si>
    <t>Akuakultur dan Haiwan Rekreasi</t>
  </si>
  <si>
    <t>Asuhan dan Pendidikan Awal Kanak-Kanak</t>
  </si>
  <si>
    <t>Gerontologi Asas dan Geriatrik</t>
  </si>
  <si>
    <t>Kerja Paip Domestik</t>
  </si>
  <si>
    <t>Kimpalan Arka dan Gas</t>
  </si>
  <si>
    <t>Menservis Penyejuk dan Penyaman Udara</t>
  </si>
  <si>
    <t>Menservis Motosikal</t>
  </si>
  <si>
    <t>Pembinaan Domestik</t>
  </si>
  <si>
    <t>Pembuatan Perabot</t>
  </si>
  <si>
    <t>Pemprosesan Makanan</t>
  </si>
  <si>
    <t>Pendawaian Domestik</t>
  </si>
  <si>
    <t>Penjagaan Muka dan Pengayaan Rambut</t>
  </si>
  <si>
    <t>Rekaan dan Jahitan</t>
  </si>
  <si>
    <t>Tanaman Makanan</t>
  </si>
  <si>
    <t>MPV</t>
  </si>
  <si>
    <t>Pengkhususan Seni Tari</t>
  </si>
  <si>
    <t>Pengkhususan Rekabentuk Industri dan Kraf</t>
  </si>
  <si>
    <t>Pengkhususan Seni Halus</t>
  </si>
  <si>
    <t>Pengkhususan Seni Muzik</t>
  </si>
  <si>
    <t>Produksi Seni Persembahan</t>
  </si>
  <si>
    <t>Sejarah dan Pengurusan Seni</t>
  </si>
  <si>
    <t>Matematik Aliran Kemahiran</t>
  </si>
  <si>
    <t>Pendidikan Islam Aliran Kemahiran</t>
  </si>
  <si>
    <t>Pendidikan Moral Aliran Kemahiran</t>
  </si>
  <si>
    <t>MPAK</t>
  </si>
  <si>
    <t>Al-Adab Wa Al-Balaghah</t>
  </si>
  <si>
    <t>Manahij Al-Ulum Al-Islamiyah</t>
  </si>
  <si>
    <t>English Download</t>
  </si>
  <si>
    <t>Pendidikan Sains, Sosial dan Alam Sekitar</t>
  </si>
  <si>
    <t>English for Skills Development Stream</t>
  </si>
  <si>
    <t>MPEI</t>
  </si>
  <si>
    <t>Pengajian Kejuruteraan Elektrik dan Elektronik</t>
  </si>
  <si>
    <t>Pengajian Kejuruteraan Mekanikal</t>
  </si>
  <si>
    <t>Lukisan Kejuruteraan</t>
  </si>
  <si>
    <t>Pengajian Kejuruteraan Awam</t>
  </si>
  <si>
    <t>Pengajian Keusahawanan</t>
  </si>
  <si>
    <t>Fully Digital</t>
  </si>
  <si>
    <t>SMTB1B001</t>
  </si>
  <si>
    <t>Kokurikulum Standard Sekolah Menengah</t>
  </si>
  <si>
    <t>Sekolah Menengah</t>
  </si>
  <si>
    <t>Tingkatan 1</t>
  </si>
  <si>
    <t>SMTB1B002</t>
  </si>
  <si>
    <t>SMTB1B003</t>
  </si>
  <si>
    <t>SMTB1B004</t>
  </si>
  <si>
    <t>SMTB1B005</t>
  </si>
  <si>
    <t>SMTB1B006</t>
  </si>
  <si>
    <t>SMTB1B007</t>
  </si>
  <si>
    <t>SMTB1B008</t>
  </si>
  <si>
    <t>SMTB1B009</t>
  </si>
  <si>
    <t>SMTB1B010</t>
  </si>
  <si>
    <t>SMTB1B011</t>
  </si>
  <si>
    <t>SMTB1B012</t>
  </si>
  <si>
    <t xml:space="preserve">Mathematics  </t>
  </si>
  <si>
    <t>SMTB1B013</t>
  </si>
  <si>
    <t>SMTB1B014</t>
  </si>
  <si>
    <t>SMTB1B015</t>
  </si>
  <si>
    <t>SMTB1B016</t>
  </si>
  <si>
    <t>SMTB1B017</t>
  </si>
  <si>
    <t>SMTB1B018</t>
  </si>
  <si>
    <t>SMTB1B019</t>
  </si>
  <si>
    <t>SMTB1B020</t>
  </si>
  <si>
    <t xml:space="preserve">Science  </t>
  </si>
  <si>
    <t>SMTB1B021</t>
  </si>
  <si>
    <t>SMTB1B022</t>
  </si>
  <si>
    <t>Kokurikulum Bersepadu Dini dan Kokurikulum Bersepadu Tahfiz</t>
  </si>
  <si>
    <t>SMTB1B023</t>
  </si>
  <si>
    <t>SMTB1B024</t>
  </si>
  <si>
    <t>SMTB1B025</t>
  </si>
  <si>
    <t>SMTB1B026</t>
  </si>
  <si>
    <t>Sekolah Seni Malaysia</t>
  </si>
  <si>
    <t>SMTB1B027</t>
  </si>
  <si>
    <t>SMTB1B028</t>
  </si>
  <si>
    <t>SMTB1B029</t>
  </si>
  <si>
    <t>SMTB2B001</t>
  </si>
  <si>
    <t>Tingkatan 2</t>
  </si>
  <si>
    <t>SMTB2B002</t>
  </si>
  <si>
    <t>SMTB2B003</t>
  </si>
  <si>
    <t>SMTB2B004</t>
  </si>
  <si>
    <t>SMTB2B005</t>
  </si>
  <si>
    <t>SMTB2B006</t>
  </si>
  <si>
    <t>SMTB2B007</t>
  </si>
  <si>
    <t>SMTB2B008</t>
  </si>
  <si>
    <t>SMTB2B009</t>
  </si>
  <si>
    <t>SMTB2B010</t>
  </si>
  <si>
    <t>SMTB2B011</t>
  </si>
  <si>
    <t>SMTB2B012</t>
  </si>
  <si>
    <t>SMTB2B013</t>
  </si>
  <si>
    <t>SMTB2B014</t>
  </si>
  <si>
    <t>SMTB2B015</t>
  </si>
  <si>
    <t>SMTB2B016</t>
  </si>
  <si>
    <t>SMTB2B017</t>
  </si>
  <si>
    <t>SMTB2B018</t>
  </si>
  <si>
    <t>SMTB2B019</t>
  </si>
  <si>
    <t>SMTB2B020</t>
  </si>
  <si>
    <t>SMTB2B021</t>
  </si>
  <si>
    <t>SMTB2B022</t>
  </si>
  <si>
    <t>SMTB2B023</t>
  </si>
  <si>
    <t>SMTB3B001</t>
  </si>
  <si>
    <t>Tingkatan 3</t>
  </si>
  <si>
    <t>SMTB3B002</t>
  </si>
  <si>
    <t>SMTB3B003</t>
  </si>
  <si>
    <t>SMTB3B004</t>
  </si>
  <si>
    <t>SMTB3B005</t>
  </si>
  <si>
    <t>SMTB3B006</t>
  </si>
  <si>
    <t>SMTB3B007</t>
  </si>
  <si>
    <t>SMTB3B008</t>
  </si>
  <si>
    <t>SMTB3B009</t>
  </si>
  <si>
    <t>SMTB3B010</t>
  </si>
  <si>
    <t>SMTB3B011</t>
  </si>
  <si>
    <t>SMTB3B012</t>
  </si>
  <si>
    <t>SMTB3B013</t>
  </si>
  <si>
    <t>SMTB3B014</t>
  </si>
  <si>
    <t>SMTB3B015</t>
  </si>
  <si>
    <t>SMTB3B016</t>
  </si>
  <si>
    <t>SMTB3B017</t>
  </si>
  <si>
    <t>SMTB3B018</t>
  </si>
  <si>
    <t>SMTB3B019</t>
  </si>
  <si>
    <t>SMTB3B020</t>
  </si>
  <si>
    <t>SMTB3B021</t>
  </si>
  <si>
    <t>SMTB3B022</t>
  </si>
  <si>
    <t>SMTB3B023</t>
  </si>
  <si>
    <t>SMTB3B024</t>
  </si>
  <si>
    <t>SMTB3B025</t>
  </si>
  <si>
    <t>SMTB3B026</t>
  </si>
  <si>
    <t>SMTB3B027</t>
  </si>
  <si>
    <t>SMTB3B028</t>
  </si>
  <si>
    <t>SMTB3B029</t>
  </si>
  <si>
    <t>SMTB3B030</t>
  </si>
  <si>
    <t>SMTB3B031</t>
  </si>
  <si>
    <t>TA4</t>
  </si>
  <si>
    <t>SMTA4B001</t>
  </si>
  <si>
    <t xml:space="preserve">Additional Mathematics  </t>
  </si>
  <si>
    <t>Tingkatan 4</t>
  </si>
  <si>
    <t>SMTA4B002</t>
  </si>
  <si>
    <t xml:space="preserve">Additional Science  </t>
  </si>
  <si>
    <t>SMTA4B003</t>
  </si>
  <si>
    <t>SMTA4B004</t>
  </si>
  <si>
    <t>SMTA4B005</t>
  </si>
  <si>
    <t>SMTA4B006</t>
  </si>
  <si>
    <t>SMTA4B007</t>
  </si>
  <si>
    <t>SMTA4B008</t>
  </si>
  <si>
    <t>SMTA4B009</t>
  </si>
  <si>
    <t>SMTA4B010</t>
  </si>
  <si>
    <t>SMTA4B011</t>
  </si>
  <si>
    <t>SMTA4B012</t>
  </si>
  <si>
    <t xml:space="preserve">Biology  </t>
  </si>
  <si>
    <t>SMTA4B013</t>
  </si>
  <si>
    <t xml:space="preserve">Chemistry  </t>
  </si>
  <si>
    <t>SMTA4B014</t>
  </si>
  <si>
    <t>SMTA4B015</t>
  </si>
  <si>
    <t>SMTA4B016</t>
  </si>
  <si>
    <t>SMTA4B017</t>
  </si>
  <si>
    <t>SMTA4B018</t>
  </si>
  <si>
    <t>SMTA4B019</t>
  </si>
  <si>
    <t>SMTA4B020</t>
  </si>
  <si>
    <t>SMTA4B021</t>
  </si>
  <si>
    <t>SMTA4B022</t>
  </si>
  <si>
    <t>SMTA4B023</t>
  </si>
  <si>
    <t>SMTA4B024</t>
  </si>
  <si>
    <t>SMTA4B025</t>
  </si>
  <si>
    <t>SMTA4B026</t>
  </si>
  <si>
    <t>SMTA4B027</t>
  </si>
  <si>
    <t>SMTA4B028</t>
  </si>
  <si>
    <t xml:space="preserve">Physics  </t>
  </si>
  <si>
    <t>SMTA4B029</t>
  </si>
  <si>
    <t>SMTA4B030</t>
  </si>
  <si>
    <t>SMTA4B031</t>
  </si>
  <si>
    <t>SMTA4B032</t>
  </si>
  <si>
    <t>SMTA4B033</t>
  </si>
  <si>
    <t>SMTA4B034</t>
  </si>
  <si>
    <t>SMTA4B035</t>
  </si>
  <si>
    <t>SMTA4B036</t>
  </si>
  <si>
    <t>SMTA4B037</t>
  </si>
  <si>
    <t>SMTA4B038</t>
  </si>
  <si>
    <t>SMTA4B039</t>
  </si>
  <si>
    <t>SMTA4B040</t>
  </si>
  <si>
    <t>SMTA4B041</t>
  </si>
  <si>
    <t>SMTA4B042</t>
  </si>
  <si>
    <t>SMTA4B043</t>
  </si>
  <si>
    <t>SMTA4B044</t>
  </si>
  <si>
    <t>Mata Pelajaran Aliran Kebangsaan</t>
  </si>
  <si>
    <t>SMTA4B045</t>
  </si>
  <si>
    <t>SMTA4B046</t>
  </si>
  <si>
    <t>SMTA4B047</t>
  </si>
  <si>
    <t>SMTA4B048</t>
  </si>
  <si>
    <t>Mata Pelajaran Elektif Teknikal</t>
  </si>
  <si>
    <t>SMTA4B049</t>
  </si>
  <si>
    <t>SMTA4B050</t>
  </si>
  <si>
    <t>SMTA4B051</t>
  </si>
  <si>
    <t>SMTA4B052</t>
  </si>
  <si>
    <t>SMTA4B053</t>
  </si>
  <si>
    <t>SMTA4B054</t>
  </si>
  <si>
    <t>SMTA4B055</t>
  </si>
  <si>
    <t>SMTA4B056</t>
  </si>
  <si>
    <t>SMTA4B057</t>
  </si>
  <si>
    <t>Mata Pelajaran Vokasional</t>
  </si>
  <si>
    <t>SMTA4B058</t>
  </si>
  <si>
    <t>SMTA4B059</t>
  </si>
  <si>
    <t>SMTA4B060</t>
  </si>
  <si>
    <t>SMTA4B061</t>
  </si>
  <si>
    <t>SMTA4B062</t>
  </si>
  <si>
    <t>SMTA4B063</t>
  </si>
  <si>
    <t>SMTA4B064</t>
  </si>
  <si>
    <t>SMTA4B065</t>
  </si>
  <si>
    <t>SMTA4B066</t>
  </si>
  <si>
    <t>SMTA4B067</t>
  </si>
  <si>
    <t>SMTA4B068</t>
  </si>
  <si>
    <t>SMTA4B069</t>
  </si>
  <si>
    <t>SMTA4B070</t>
  </si>
  <si>
    <t>SMTA4B071</t>
  </si>
  <si>
    <t>SMTA4B072</t>
  </si>
  <si>
    <t>SMTA4B073</t>
  </si>
  <si>
    <t>SMTA4B074</t>
  </si>
  <si>
    <t>SMTA4B075</t>
  </si>
  <si>
    <t>SMTA4B076</t>
  </si>
  <si>
    <t>SMTA4B077</t>
  </si>
  <si>
    <t>SMTA4B078</t>
  </si>
  <si>
    <t>SMTA4B079</t>
  </si>
  <si>
    <t>SMTA4B080</t>
  </si>
  <si>
    <t>SMTA4B081</t>
  </si>
  <si>
    <t>SMTA4B082</t>
  </si>
  <si>
    <t>SMTA4B083</t>
  </si>
  <si>
    <t>SMTA4B084</t>
  </si>
  <si>
    <t>SMTA4B085</t>
  </si>
  <si>
    <t>SMTA4B086</t>
  </si>
  <si>
    <t>SMTA4B087</t>
  </si>
  <si>
    <t>Kesusasteraan Cina</t>
  </si>
  <si>
    <t>SMTA4B088</t>
  </si>
  <si>
    <t>SMTA4B089</t>
  </si>
  <si>
    <t>SMTA4B090</t>
  </si>
  <si>
    <t>Pendidikan Khas</t>
  </si>
  <si>
    <t>SMTA4B091</t>
  </si>
  <si>
    <t>SMTA4B092</t>
  </si>
  <si>
    <t>SMTA4B093</t>
  </si>
  <si>
    <t>SMTA4B094</t>
  </si>
  <si>
    <t>SMTA4B095</t>
  </si>
  <si>
    <t>SMTA4B096</t>
  </si>
  <si>
    <t>SMTA4B097</t>
  </si>
  <si>
    <t>TA5</t>
  </si>
  <si>
    <t>SMTA5B001</t>
  </si>
  <si>
    <t>Tingkatan 5</t>
  </si>
  <si>
    <t>SMTA5B002</t>
  </si>
  <si>
    <t>SMTA5B003</t>
  </si>
  <si>
    <t>SMTA5B004</t>
  </si>
  <si>
    <t>SMTA5B005</t>
  </si>
  <si>
    <t>SMTA5B006</t>
  </si>
  <si>
    <t>SMTA5B007</t>
  </si>
  <si>
    <t>SMTA5B008</t>
  </si>
  <si>
    <t>SMTA5B009</t>
  </si>
  <si>
    <t>SMTA5B010</t>
  </si>
  <si>
    <t>SMTA5B011</t>
  </si>
  <si>
    <t>SMTA5B012</t>
  </si>
  <si>
    <t>SMTA5B013</t>
  </si>
  <si>
    <t>SMTA5B014</t>
  </si>
  <si>
    <t>SMTA5B015</t>
  </si>
  <si>
    <t>SMTA5B016</t>
  </si>
  <si>
    <t>SMTA5B017</t>
  </si>
  <si>
    <t>SMTA5B018</t>
  </si>
  <si>
    <t>SMTA5B019</t>
  </si>
  <si>
    <t>SMTA5B020</t>
  </si>
  <si>
    <t>SMTA5B021</t>
  </si>
  <si>
    <t>SMTA5B022</t>
  </si>
  <si>
    <t>SMTA5B023</t>
  </si>
  <si>
    <t>SMTA5B024</t>
  </si>
  <si>
    <t>SMTA5B025</t>
  </si>
  <si>
    <t>SMTA5B026</t>
  </si>
  <si>
    <t>SMTA5B027</t>
  </si>
  <si>
    <t>SMTA5B028</t>
  </si>
  <si>
    <t>SMTA5B029</t>
  </si>
  <si>
    <t>SMTA5B030</t>
  </si>
  <si>
    <t>SMTA5B031</t>
  </si>
  <si>
    <t>SMTA5B032</t>
  </si>
  <si>
    <t>SMTA5B033</t>
  </si>
  <si>
    <t>Mata Pelajaran Elektif Ikhtisas</t>
  </si>
  <si>
    <t>SMTA5B034</t>
  </si>
  <si>
    <t>SMTA5B035</t>
  </si>
  <si>
    <t>SMTA5B036</t>
  </si>
  <si>
    <t>SMTA5B037</t>
  </si>
  <si>
    <t>SMTA5B038</t>
  </si>
  <si>
    <t>SMTA5B039</t>
  </si>
  <si>
    <t>SMTA5B040</t>
  </si>
  <si>
    <t>SMTA5B041</t>
  </si>
  <si>
    <t>SMTA5B042</t>
  </si>
  <si>
    <t>SMTA5B043</t>
  </si>
  <si>
    <t>SMTA5B044</t>
  </si>
  <si>
    <t>SMTA5B045</t>
  </si>
  <si>
    <t>SMTA5B046</t>
  </si>
  <si>
    <t>SMTA5B047</t>
  </si>
  <si>
    <t>SMTA5B048</t>
  </si>
  <si>
    <t>SMTA5B049</t>
  </si>
  <si>
    <t>SMTA5B050</t>
  </si>
  <si>
    <t>SMTA5B051</t>
  </si>
  <si>
    <t>SMTA5B052</t>
  </si>
  <si>
    <t>SMTA5B053</t>
  </si>
  <si>
    <t>SMTA5B054</t>
  </si>
  <si>
    <t>SMTA5B055</t>
  </si>
  <si>
    <t>SMTA5B056</t>
  </si>
  <si>
    <t>SMTA5B057</t>
  </si>
  <si>
    <t>SMTA5B058</t>
  </si>
  <si>
    <t>SMTA5B059</t>
  </si>
  <si>
    <t>SMTA5B060</t>
  </si>
  <si>
    <t>SMTA5B061</t>
  </si>
  <si>
    <t>SMTA5B062</t>
  </si>
  <si>
    <t>SMTA5B063</t>
  </si>
  <si>
    <t>SMTA5B064</t>
  </si>
  <si>
    <t>SMTA5B065</t>
  </si>
  <si>
    <t>SMTA5B066</t>
  </si>
  <si>
    <t>SMTA5B067</t>
  </si>
  <si>
    <t>SMTA5B068</t>
  </si>
  <si>
    <t>SMTA5B069</t>
  </si>
  <si>
    <t>SMTA5B070</t>
  </si>
  <si>
    <t>SMTA5B071</t>
  </si>
  <si>
    <t>SMTA5B072</t>
  </si>
  <si>
    <t>SMTA5B073</t>
  </si>
  <si>
    <t>SMTA5B074</t>
  </si>
  <si>
    <t>SMTA5B075</t>
  </si>
  <si>
    <t>SMTA5B076</t>
  </si>
  <si>
    <t>SMTA5B077</t>
  </si>
  <si>
    <t>SMTA5B078</t>
  </si>
  <si>
    <t>SMTA5B079</t>
  </si>
  <si>
    <t>SMTA5B080</t>
  </si>
  <si>
    <t>SMTA5B081</t>
  </si>
  <si>
    <t>SMTA5B082</t>
  </si>
  <si>
    <t>SMTA5B083</t>
  </si>
  <si>
    <t>SMTA5B084</t>
  </si>
  <si>
    <t>SMTA5B085</t>
  </si>
  <si>
    <t>SMTA5B086</t>
  </si>
  <si>
    <t>SMTA5B087</t>
  </si>
  <si>
    <t>SMTA5B088</t>
  </si>
  <si>
    <t>SMTA5B089</t>
  </si>
  <si>
    <t>SMTA5B090</t>
  </si>
  <si>
    <t>SMTA5B091</t>
  </si>
  <si>
    <t>SMTA5B092</t>
  </si>
  <si>
    <t>SMTA5B093</t>
  </si>
  <si>
    <t>SMTA5B094</t>
  </si>
  <si>
    <t>SMB00</t>
  </si>
  <si>
    <t/>
  </si>
  <si>
    <t>SMTA5B095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</si>
</sst>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2" xfId="0" applyNumberFormat="1" applyFont="1" applyBorder="1" applyAlignment="1"/>
    <xf numFmtId="0" fontId="0" fillId="2" borderId="2" xfId="0" applyNumberFormat="1" applyFont="1" applyFill="1" applyBorder="1" applyAlignment="1"/>
    <xf numFmtId="0" fontId="0" fillId="0" borderId="3" xfId="0" applyFont="1" applyBorder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0" fontId="0" fillId="0" borderId="1" xfId="0" applyBorder="1"/>
    <xf numFmtId="0" fontId="0" fillId="2" borderId="0" xfId="0" applyFont="1" applyFill="1" applyBorder="1" applyAlignment="1"/>
    <xf numFmtId="0" fontId="0" fillId="0" borderId="2" xfId="0" applyBorder="1"/>
    <xf numFmtId="0" fontId="0" fillId="0" borderId="2" xfId="0" applyNumberFormat="1" applyBorder="1"/>
    <xf numFmtId="0" fontId="0" fillId="2" borderId="0" xfId="0" applyNumberFormat="1" applyFont="1" applyFill="1" applyBorder="1" applyAlignment="1"/>
    <xf numFmtId="0" fontId="0" fillId="0" borderId="2" xfId="0" applyBorder="1" applyAlignment="1">
      <alignment wrapText="1"/>
    </xf>
    <xf numFmtId="0" fontId="0" fillId="0" borderId="3" xfId="0" applyNumberFormat="1" applyBorder="1"/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863EBFA-3252-463A-A962-5FFA33AF5A6E}" autoFormatId="16" applyNumberFormats="0" applyBorderFormats="0" applyFontFormats="0" applyPatternFormats="0" applyAlignmentFormats="0" applyWidthHeightFormats="0">
  <queryTableRefresh nextId="13">
    <queryTableFields count="12">
      <queryTableField id="1" name="schoolLevel" tableColumnId="1"/>
      <queryTableField id="2" name="studentLevel" tableColumnId="2"/>
      <queryTableField id="3" name="bookId" tableColumnId="3"/>
      <queryTableField id="4" name="id" tableColumnId="4"/>
      <queryTableField id="5" name="subjectName" tableColumnId="5"/>
      <queryTableField id="6" name="displayName" tableColumnId="6"/>
      <queryTableField id="7" name="silibusCode" tableColumnId="7"/>
      <queryTableField id="8" name="silibusName" tableColumnId="8"/>
      <queryTableField id="9" name="schoolLevelName" tableColumnId="9"/>
      <queryTableField id="10" name="studentLevelName" tableColumnId="10"/>
      <queryTableField id="11" name="dlpStatus" tableColumnId="11"/>
      <queryTableField id="12" name="bookStatu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D73CBF-BD9E-4936-9E60-BBA096CCA4C8}" autoFormatId="16" applyNumberFormats="0" applyBorderFormats="0" applyFontFormats="0" applyPatternFormats="0" applyAlignmentFormats="0" applyWidthHeightFormats="0">
  <queryTableRefresh nextId="13">
    <queryTableFields count="12">
      <queryTableField id="1" name="schoolLevel" tableColumnId="1"/>
      <queryTableField id="2" name="studentLevel" tableColumnId="2"/>
      <queryTableField id="3" name="bookId" tableColumnId="3"/>
      <queryTableField id="4" name="id" tableColumnId="4"/>
      <queryTableField id="5" name="subjectName" tableColumnId="5"/>
      <queryTableField id="6" name="displayName" tableColumnId="6"/>
      <queryTableField id="7" name="silibusCode" tableColumnId="7"/>
      <queryTableField id="8" name="silibusName" tableColumnId="8"/>
      <queryTableField id="9" name="schoolLevelName" tableColumnId="9"/>
      <queryTableField id="10" name="studentLevelName" tableColumnId="10"/>
      <queryTableField id="11" name="dlpStatus" tableColumnId="11"/>
      <queryTableField id="12" name="bookStatu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EDE3121-43D4-4440-A285-4105D8C0AC05}" autoFormatId="16" applyNumberFormats="0" applyBorderFormats="0" applyFontFormats="0" applyPatternFormats="0" applyAlignmentFormats="0" applyWidthHeightFormats="0">
  <queryTableRefresh nextId="13">
    <queryTableFields count="12">
      <queryTableField id="1" name="schoolLevel" tableColumnId="1"/>
      <queryTableField id="2" name="studentLevel" tableColumnId="2"/>
      <queryTableField id="3" name="bookId" tableColumnId="3"/>
      <queryTableField id="4" name="id" tableColumnId="4"/>
      <queryTableField id="5" name="subjectName" tableColumnId="5"/>
      <queryTableField id="6" name="displayName" tableColumnId="6"/>
      <queryTableField id="7" name="silibusCode" tableColumnId="7"/>
      <queryTableField id="8" name="silibusName" tableColumnId="8"/>
      <queryTableField id="9" name="schoolLevelName" tableColumnId="9"/>
      <queryTableField id="10" name="studentLevelName" tableColumnId="10"/>
      <queryTableField id="11" name="dlpStatus" tableColumnId="11"/>
      <queryTableField id="12" name="bookStatus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1F2EFF5-9C07-4D73-A491-453775220C87}" autoFormatId="16" applyNumberFormats="0" applyBorderFormats="0" applyFontFormats="0" applyPatternFormats="0" applyAlignmentFormats="0" applyWidthHeightFormats="0">
  <queryTableRefresh nextId="13">
    <queryTableFields count="12">
      <queryTableField id="1" name="schoolLevel" tableColumnId="1"/>
      <queryTableField id="2" name="studentLevel" tableColumnId="2"/>
      <queryTableField id="3" name="bookId" tableColumnId="3"/>
      <queryTableField id="4" name="id" tableColumnId="4"/>
      <queryTableField id="5" name="subjectName" tableColumnId="5"/>
      <queryTableField id="6" name="displayName" tableColumnId="6"/>
      <queryTableField id="7" name="silibusCode" tableColumnId="7"/>
      <queryTableField id="8" name="silibusName" tableColumnId="8"/>
      <queryTableField id="9" name="schoolLevelName" tableColumnId="9"/>
      <queryTableField id="10" name="studentLevelName" tableColumnId="10"/>
      <queryTableField id="11" name="dlpStatus" tableColumnId="11"/>
      <queryTableField id="12" name="bookStatu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0B7A223-B216-4F6D-A8F3-86E1C0B1FD93}" autoFormatId="16" applyNumberFormats="0" applyBorderFormats="0" applyFontFormats="0" applyPatternFormats="0" applyAlignmentFormats="0" applyWidthHeightFormats="0">
  <queryTableRefresh nextId="13">
    <queryTableFields count="12">
      <queryTableField id="1" name="schoolLevel" tableColumnId="1"/>
      <queryTableField id="2" name="studentLevel" tableColumnId="2"/>
      <queryTableField id="3" name="bookId" tableColumnId="3"/>
      <queryTableField id="4" name="id" tableColumnId="4"/>
      <queryTableField id="5" name="subjectName" tableColumnId="5"/>
      <queryTableField id="6" name="displayName" tableColumnId="6"/>
      <queryTableField id="7" name="silibusCode" tableColumnId="7"/>
      <queryTableField id="8" name="silibusName" tableColumnId="8"/>
      <queryTableField id="9" name="schoolLevelName" tableColumnId="9"/>
      <queryTableField id="10" name="studentLevelName" tableColumnId="10"/>
      <queryTableField id="11" name="dlpStatus" tableColumnId="11"/>
      <queryTableField id="12" name="bookStatus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302FC-452F-4784-A4AB-F70ED8B01E90}" name="Table1" displayName="Table1" ref="A1:L281" totalsRowShown="0">
  <sortState xmlns:xlrd2="http://schemas.microsoft.com/office/spreadsheetml/2017/richdata2" ref="A2:L281">
    <sortCondition ref="A2:A281"/>
    <sortCondition ref="B2:B281" customList="TB1,TB2,TB3,TA4,TA5"/>
    <sortCondition ref="G2:G281" customList="KSSM,MPEI,KBDKBT,MPAK,MPEI,MPET,MPV,SSeM,MPV"/>
    <sortCondition ref="E2:E281"/>
  </sortState>
  <tableColumns count="12">
    <tableColumn id="1" xr3:uid="{E37C520C-5922-4379-832C-5A0171CA79E5}" name="schoolLevel"/>
    <tableColumn id="2" xr3:uid="{5C6C90F5-A9D2-49EC-8D8C-38DB8ADAA15D}" name="studentLevel"/>
    <tableColumn id="3" xr3:uid="{090B8CAF-01B5-4EE1-9596-CC829CA63A27}" name="bookId"/>
    <tableColumn id="4" xr3:uid="{5F78174A-BE6C-452C-BCB9-9D5718E4927C}" name="id" dataDxfId="44">
      <calculatedColumnFormula array="1">A2&amp;B2&amp;_xlfn.IFS(C2 &lt; 10,"B00"&amp;C2,AND(C2 &gt;= 10,C2 &lt; 100),"B0"&amp;C2,C2 &gt;= 100,"B"&amp;C2)</calculatedColumnFormula>
    </tableColumn>
    <tableColumn id="5" xr3:uid="{8FF3B7AB-8679-446E-9BE6-3A5F87B03EE7}" name="subjectName"/>
    <tableColumn id="18" xr3:uid="{A51AA2F6-8CEB-4FC2-9C09-917F357EE5C1}" name="displayName" dataDxfId="43">
      <calculatedColumnFormula>SUBSTITUTE(E2,"DLP"," ")</calculatedColumnFormula>
    </tableColumn>
    <tableColumn id="19" xr3:uid="{DFBE674C-08A2-4F43-9716-64EF12CB7EAA}" name="silibusCode"/>
    <tableColumn id="20" xr3:uid="{5B752677-C5CF-4788-8C72-65B5C81BC727}" name="silibusName" dataDxfId="42">
      <calculatedColumnFormula array="1">_xlfn.IFS(G2 = "KSSR","Kokurikulum Standard Sekolah Rendah",G2 = "KSSM","Kokurikulum Standard Sekolah Menengah",G2 = "KBDKBT","Kokurikulum Bersepadu Dini dan Kokurikulum Bersepadu Tahfiz",G2 = "SSeM","Sekolah Seni Malaysia",G2 = "KC","Kesusasteraan Cina",G2 = "KSSMPK","Pendidikan Khas",G2 = "MPEI","Mata Pelajaran Elektif Ikhtisas",G2 = "MPET","Mata Pelajaran Elektif Teknikal",G2 = "MPV","Mata Pelajaran Vokasional",G2 = "MPAK","Mata Pelajaran Aliran Kebangsaan")</calculatedColumnFormula>
    </tableColumn>
    <tableColumn id="6" xr3:uid="{F47E69BC-96F3-43F7-B5BA-F19AAF8615AC}" name="schoolLevelName">
      <calculatedColumnFormula array="1">_xlfn.IFS(A2="SR","Sekolah Rendah",A2="SM","Sekolah Menengah")</calculatedColumnFormula>
    </tableColumn>
    <tableColumn id="7" xr3:uid="{BB7C1EE9-9228-4BD2-B067-C0A6EBC423D1}" name="studentLevelName" dataDxfId="41">
      <calculatedColumnFormula array="1">_xlfn.SWITCH(B2,"T1","Tahun 1","T2","Tahun 2","T3","Tahun 3","T4","Tahun 4","T5","Tahun 5","T6","Tahun 6","TB1","Tingkatan 1","TB2","Tingkatan 2","TB3","Tingkatan 3","TA4","Tingkatan 4","TA5","Tingkatan 5")</calculatedColumnFormula>
    </tableColumn>
    <tableColumn id="17" xr3:uid="{EF9B8A60-29ED-4407-97CB-76B19F9AD8E8}" name="dlpStatus">
      <calculatedColumnFormula>IF(COUNTIF(E2,"*DLP*"),TRUE)</calculatedColumnFormula>
    </tableColumn>
    <tableColumn id="8" xr3:uid="{7F8384E4-1B38-4F55-914C-5F9243533B83}" name="bookStatus" dataDxfId="40">
      <calculatedColumnFormula array="1">L2:L15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582044-E9A3-4563-9A0B-988992F92DF2}" name="Tingkatan_1" displayName="Tingkatan_1" ref="A1:L289" tableType="queryTable" totalsRowShown="0">
  <autoFilter ref="A1:L289" xr:uid="{E4582044-E9A3-4563-9A0B-988992F92DF2}">
    <filterColumn colId="1">
      <filters>
        <filter val="TB1"/>
      </filters>
    </filterColumn>
  </autoFilter>
  <tableColumns count="12">
    <tableColumn id="1" xr3:uid="{AB2C0158-A748-4F94-B79C-9C0F11C15E93}" uniqueName="1" name="schoolLevel" queryTableFieldId="1" dataDxfId="39"/>
    <tableColumn id="2" xr3:uid="{13111984-CD86-4B83-BE40-713968CC36A0}" uniqueName="2" name="studentLevel" queryTableFieldId="2" dataDxfId="38"/>
    <tableColumn id="3" xr3:uid="{9B78AE10-E0F1-42E5-9165-5F455E101FD7}" uniqueName="3" name="bookId" queryTableFieldId="3"/>
    <tableColumn id="4" xr3:uid="{441C4F86-8F73-4E82-B7C4-CD1E6D3296C7}" uniqueName="4" name="id" queryTableFieldId="4" dataDxfId="37"/>
    <tableColumn id="5" xr3:uid="{F14E938B-2637-4E28-9936-E5C5EE623BDC}" uniqueName="5" name="subjectName" queryTableFieldId="5" dataDxfId="36"/>
    <tableColumn id="6" xr3:uid="{E5395816-44DF-4FF7-91A1-EB0167D54490}" uniqueName="6" name="displayName" queryTableFieldId="6" dataDxfId="35"/>
    <tableColumn id="7" xr3:uid="{0A4ACA65-B845-45E5-87A6-72B4A832E4B1}" uniqueName="7" name="silibusCode" queryTableFieldId="7" dataDxfId="34"/>
    <tableColumn id="8" xr3:uid="{E7E71C7E-3613-4BC3-9880-6904193BE23B}" uniqueName="8" name="silibusName" queryTableFieldId="8" dataDxfId="33"/>
    <tableColumn id="9" xr3:uid="{BADC1493-6D3F-4442-ACB4-55CF38CCEFA7}" uniqueName="9" name="schoolLevelName" queryTableFieldId="9" dataDxfId="32"/>
    <tableColumn id="10" xr3:uid="{07489350-6C0E-444E-840C-D6308F8DA2A2}" uniqueName="10" name="studentLevelName" queryTableFieldId="10" dataDxfId="31"/>
    <tableColumn id="11" xr3:uid="{1650344F-C1C1-466F-9194-8CB2D76831F4}" uniqueName="11" name="dlpStatus" queryTableFieldId="11"/>
    <tableColumn id="12" xr3:uid="{0A4F3AC3-8DB3-4A09-A337-63826D35ABEA}" uniqueName="12" name="bookStatus" queryTableFieldId="12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1EFC84-D708-45FD-A752-BDEBDD35FA93}" name="Tingkatan_2" displayName="Tingkatan_2" ref="A1:L289" tableType="queryTable" totalsRowShown="0">
  <autoFilter ref="A1:L289" xr:uid="{651EFC84-D708-45FD-A752-BDEBDD35FA93}">
    <filterColumn colId="1">
      <filters>
        <filter val="TB2"/>
      </filters>
    </filterColumn>
  </autoFilter>
  <tableColumns count="12">
    <tableColumn id="1" xr3:uid="{C46EE479-5A49-4E01-AA97-AEE5DDCF36AE}" uniqueName="1" name="schoolLevel" queryTableFieldId="1" dataDxfId="29"/>
    <tableColumn id="2" xr3:uid="{DD3202F7-9956-4ACD-9196-3E1EAE6A9577}" uniqueName="2" name="studentLevel" queryTableFieldId="2" dataDxfId="28"/>
    <tableColumn id="3" xr3:uid="{03F3E378-6975-4B02-B503-293652EF34BB}" uniqueName="3" name="bookId" queryTableFieldId="3"/>
    <tableColumn id="4" xr3:uid="{6AD5148C-0F2C-4CD9-BC21-B0E988612456}" uniqueName="4" name="id" queryTableFieldId="4" dataDxfId="27"/>
    <tableColumn id="5" xr3:uid="{21DC4045-432F-4FBB-97CA-E4A9ADFB64AD}" uniqueName="5" name="subjectName" queryTableFieldId="5" dataDxfId="26"/>
    <tableColumn id="6" xr3:uid="{548EF909-6C0B-452A-A09E-39573DD6013C}" uniqueName="6" name="displayName" queryTableFieldId="6" dataDxfId="25"/>
    <tableColumn id="7" xr3:uid="{77867093-B9DC-459B-91E8-549E449E2677}" uniqueName="7" name="silibusCode" queryTableFieldId="7" dataDxfId="24"/>
    <tableColumn id="8" xr3:uid="{1195C075-9F47-49B0-A4A9-83CAFDA94178}" uniqueName="8" name="silibusName" queryTableFieldId="8" dataDxfId="23"/>
    <tableColumn id="9" xr3:uid="{6C8EAA91-4B4E-4171-AAFB-DFF96F94B572}" uniqueName="9" name="schoolLevelName" queryTableFieldId="9" dataDxfId="22"/>
    <tableColumn id="10" xr3:uid="{D06599D2-CB50-4142-BB1E-D76B4E25EA75}" uniqueName="10" name="studentLevelName" queryTableFieldId="10" dataDxfId="21"/>
    <tableColumn id="11" xr3:uid="{12E6EC9D-AF0C-4B5F-9E22-C1AFE3790CF0}" uniqueName="11" name="dlpStatus" queryTableFieldId="11"/>
    <tableColumn id="12" xr3:uid="{E790099A-9A8E-4957-9A14-6B655C038D0A}" uniqueName="12" name="bookStatus" queryTableFieldId="12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C4708B-C3FF-4FC6-A738-AC05A6FDE517}" name="Tingkatan_3" displayName="Tingkatan_3" ref="A1:L289" tableType="queryTable" totalsRowShown="0">
  <autoFilter ref="A1:L289" xr:uid="{BEC4708B-C3FF-4FC6-A738-AC05A6FDE517}">
    <filterColumn colId="1">
      <filters>
        <filter val="TB3"/>
      </filters>
    </filterColumn>
  </autoFilter>
  <tableColumns count="12">
    <tableColumn id="1" xr3:uid="{5C7A4FAA-235F-4557-BD6F-959CF69FC012}" uniqueName="1" name="schoolLevel" queryTableFieldId="1" dataDxfId="19"/>
    <tableColumn id="2" xr3:uid="{130054B1-465A-49EE-B64C-88D174837528}" uniqueName="2" name="studentLevel" queryTableFieldId="2" dataDxfId="18"/>
    <tableColumn id="3" xr3:uid="{E21A6E4C-38A0-4865-83D6-3E165377B44E}" uniqueName="3" name="bookId" queryTableFieldId="3"/>
    <tableColumn id="4" xr3:uid="{DC224DE5-98BF-4ABC-ADF9-C4280A469FC5}" uniqueName="4" name="id" queryTableFieldId="4" dataDxfId="17"/>
    <tableColumn id="5" xr3:uid="{77A29110-5BF9-4286-B185-F4028B359FA3}" uniqueName="5" name="subjectName" queryTableFieldId="5" dataDxfId="16"/>
    <tableColumn id="6" xr3:uid="{A2523467-45A9-48D9-ABD0-ADC70B284BB4}" uniqueName="6" name="displayName" queryTableFieldId="6" dataDxfId="15"/>
    <tableColumn id="7" xr3:uid="{018E23E8-5E12-44C6-87D9-02DDA0B38658}" uniqueName="7" name="silibusCode" queryTableFieldId="7" dataDxfId="14"/>
    <tableColumn id="8" xr3:uid="{539474C8-575D-4F72-821B-79D90F1DEE39}" uniqueName="8" name="silibusName" queryTableFieldId="8" dataDxfId="13"/>
    <tableColumn id="9" xr3:uid="{16AD373C-81AD-4680-A01A-3942C51E8357}" uniqueName="9" name="schoolLevelName" queryTableFieldId="9" dataDxfId="12"/>
    <tableColumn id="10" xr3:uid="{E166D8FF-31BE-439C-A645-B0F95540B2D3}" uniqueName="10" name="studentLevelName" queryTableFieldId="10" dataDxfId="11"/>
    <tableColumn id="11" xr3:uid="{0128420C-7937-48E5-A54D-3280B56C2E73}" uniqueName="11" name="dlpStatus" queryTableFieldId="11"/>
    <tableColumn id="12" xr3:uid="{A1C5386F-4738-4C35-97DD-6D6983DBE5CC}" uniqueName="12" name="bookStatus" queryTableFieldId="12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172E89-7163-4C6D-9650-5EE70A42028A}" name="Tingkatan_4" displayName="Tingkatan_4" ref="A1:L289" tableType="queryTable" totalsRowShown="0">
  <autoFilter ref="A1:L289" xr:uid="{92172E89-7163-4C6D-9650-5EE70A42028A}">
    <filterColumn colId="1">
      <filters>
        <filter val="TA4"/>
      </filters>
    </filterColumn>
  </autoFilter>
  <tableColumns count="12">
    <tableColumn id="1" xr3:uid="{CDDF1E1B-78FB-442E-9505-88F141EACFED}" uniqueName="1" name="schoolLevel" queryTableFieldId="1" dataDxfId="9"/>
    <tableColumn id="2" xr3:uid="{9481993A-AF11-4451-9459-0B4E45DE2E50}" uniqueName="2" name="studentLevel" queryTableFieldId="2" dataDxfId="8"/>
    <tableColumn id="3" xr3:uid="{C0FCCFD9-32BC-4319-B94B-D23C0905548E}" uniqueName="3" name="bookId" queryTableFieldId="3"/>
    <tableColumn id="4" xr3:uid="{06E3E7EC-3FB3-409E-B3BA-C36FBEFE6B8F}" uniqueName="4" name="id" queryTableFieldId="4" dataDxfId="7"/>
    <tableColumn id="5" xr3:uid="{F3EC45A6-53AF-4C5E-A73D-51101754AA4A}" uniqueName="5" name="subjectName" queryTableFieldId="5" dataDxfId="6"/>
    <tableColumn id="6" xr3:uid="{51904554-683C-46D4-9C8B-190FDAFBD8ED}" uniqueName="6" name="displayName" queryTableFieldId="6" dataDxfId="5"/>
    <tableColumn id="7" xr3:uid="{E82310D6-90F5-4647-A77A-D7D6E329EC5F}" uniqueName="7" name="silibusCode" queryTableFieldId="7" dataDxfId="4"/>
    <tableColumn id="8" xr3:uid="{D6377AC9-869C-4991-BF9C-F8C06AF3E411}" uniqueName="8" name="silibusName" queryTableFieldId="8" dataDxfId="3"/>
    <tableColumn id="9" xr3:uid="{FA6A2CD1-721D-47B8-9B1A-55FF958064FF}" uniqueName="9" name="schoolLevelName" queryTableFieldId="9" dataDxfId="2"/>
    <tableColumn id="10" xr3:uid="{17B0D78B-5ED9-46D3-B16B-0967B0CE75AC}" uniqueName="10" name="studentLevelName" queryTableFieldId="10" dataDxfId="1"/>
    <tableColumn id="11" xr3:uid="{1640A682-A976-4D00-84C1-A7F68F57A0D0}" uniqueName="11" name="dlpStatus" queryTableFieldId="11"/>
    <tableColumn id="12" xr3:uid="{F9BB73FE-67A6-48F0-BFA1-895227C6657C}" uniqueName="12" name="bookStatus" queryTableFieldId="12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D579D8-7E91-411D-81FE-93AA05271B49}" name="Tingkatan_5" displayName="Tingkatan_5" ref="A1:L289" tableType="queryTable" totalsRowShown="0">
  <autoFilter ref="A1:L289" xr:uid="{2BD579D8-7E91-411D-81FE-93AA05271B49}">
    <filterColumn colId="1">
      <filters>
        <filter val="TA5"/>
      </filters>
    </filterColumn>
  </autoFilter>
  <tableColumns count="12">
    <tableColumn id="1" xr3:uid="{CC93648C-F76C-415D-A0E0-9779F7BAA696}" uniqueName="1" name="schoolLevel" queryTableFieldId="1"/>
    <tableColumn id="2" xr3:uid="{FC3BD225-D566-44D1-82F0-4E6C588A9036}" uniqueName="2" name="studentLevel" queryTableFieldId="2"/>
    <tableColumn id="3" xr3:uid="{0731488C-C3DC-4F90-9497-A9DFB6A7C3EA}" uniqueName="3" name="bookId" queryTableFieldId="3"/>
    <tableColumn id="4" xr3:uid="{261589EA-5EB4-4D52-AC76-FEA754356ED0}" uniqueName="4" name="id" queryTableFieldId="4"/>
    <tableColumn id="5" xr3:uid="{5D251FA4-B239-4AF6-AACD-A6B7856ADE4F}" uniqueName="5" name="subjectName" queryTableFieldId="5"/>
    <tableColumn id="6" xr3:uid="{8182DB72-A24B-4024-940D-C3A169B336DA}" uniqueName="6" name="displayName" queryTableFieldId="6"/>
    <tableColumn id="7" xr3:uid="{2842F237-BA9A-475A-8549-7B30BA8C5536}" uniqueName="7" name="silibusCode" queryTableFieldId="7"/>
    <tableColumn id="8" xr3:uid="{E552168E-EF44-4EB0-9372-FA73790C9148}" uniqueName="8" name="silibusName" queryTableFieldId="8"/>
    <tableColumn id="9" xr3:uid="{498894CB-200B-4CF9-BC49-CD5EB1934E1A}" uniqueName="9" name="schoolLevelName" queryTableFieldId="9"/>
    <tableColumn id="10" xr3:uid="{834EECA8-B758-4707-9D31-8F2024A979DE}" uniqueName="10" name="studentLevelName" queryTableFieldId="10"/>
    <tableColumn id="11" xr3:uid="{1563E4BE-35BB-4BF1-809D-C0CE9C31C5B0}" uniqueName="11" name="dlpStatus" queryTableFieldId="11"/>
    <tableColumn id="12" xr3:uid="{1AC95FC8-2682-4026-8A54-54C8A21BB7A8}" uniqueName="12" name="bookStatu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BCB9-0EFC-4348-AD26-6F79A672C4D1}">
  <dimension ref="A1:L289"/>
  <sheetViews>
    <sheetView topLeftCell="A169" zoomScale="80" zoomScaleNormal="80" workbookViewId="0">
      <selection activeCell="K203" sqref="K203"/>
    </sheetView>
  </sheetViews>
  <sheetFormatPr defaultRowHeight="14.4" x14ac:dyDescent="0.3"/>
  <cols>
    <col min="1" max="1" width="13.88671875" bestFit="1" customWidth="1"/>
    <col min="2" max="2" width="15" bestFit="1" customWidth="1"/>
    <col min="3" max="3" width="9.6640625" bestFit="1" customWidth="1"/>
    <col min="4" max="4" width="10.77734375" bestFit="1" customWidth="1"/>
    <col min="5" max="6" width="41.6640625" bestFit="1" customWidth="1"/>
    <col min="7" max="7" width="13.77734375" bestFit="1" customWidth="1"/>
    <col min="8" max="8" width="57.21875" bestFit="1" customWidth="1"/>
    <col min="9" max="9" width="19.109375" bestFit="1" customWidth="1"/>
    <col min="10" max="10" width="20.44140625" bestFit="1" customWidth="1"/>
    <col min="11" max="11" width="11.77734375" bestFit="1" customWidth="1"/>
    <col min="12" max="12" width="13.88671875" customWidth="1"/>
  </cols>
  <sheetData>
    <row r="1" spans="1:12" x14ac:dyDescent="0.3">
      <c r="A1" t="s">
        <v>5</v>
      </c>
      <c r="B1" t="s">
        <v>4</v>
      </c>
      <c r="C1" t="s">
        <v>3</v>
      </c>
      <c r="D1" t="s">
        <v>0</v>
      </c>
      <c r="E1" s="1" t="s">
        <v>2</v>
      </c>
      <c r="F1" t="s">
        <v>15</v>
      </c>
      <c r="G1" t="s">
        <v>34</v>
      </c>
      <c r="H1" t="s">
        <v>35</v>
      </c>
      <c r="I1" t="s">
        <v>1</v>
      </c>
      <c r="J1" t="s">
        <v>6</v>
      </c>
      <c r="K1" t="s">
        <v>12</v>
      </c>
      <c r="L1" t="s">
        <v>52</v>
      </c>
    </row>
    <row r="2" spans="1:12" x14ac:dyDescent="0.3">
      <c r="A2" t="s">
        <v>8</v>
      </c>
      <c r="B2" t="s">
        <v>20</v>
      </c>
      <c r="C2">
        <v>1</v>
      </c>
      <c r="D2" s="2" t="str" cm="1">
        <f t="array" ref="D2">A2&amp;B2&amp;_xlfn.IFS(C2 &lt; 10,"B00"&amp;C2,AND(C2 &gt;= 10,C2 &lt; 100),"B0"&amp;C2,C2 &gt;= 100,"B"&amp;C2)</f>
        <v>SMTB1B001</v>
      </c>
      <c r="E2" t="s">
        <v>21</v>
      </c>
      <c r="F2" s="2" t="str">
        <f>SUBSTITUTE(E2,"DLP"," ")</f>
        <v>Asas Sains Komputer</v>
      </c>
      <c r="G2" t="s">
        <v>36</v>
      </c>
      <c r="H2" s="2" t="str" cm="1">
        <f t="array" ref="H2">_xlfn.IFS(G2 = "KSSR","Kokurikulum Standard Sekolah Rendah",G2 = "KSSM","Kokurikulum Standard Sekolah Menengah",G2 = "KBDKBT","Kokurikulum Bersepadu Dini dan Kokurikulum Bersepadu Tahfiz",G2 = "SSeM","Sekolah Seni Malaysia",G2 = "KC","Kesusasteraan Cina",G2 = "KSSMPK","Pendidikan Khas",G2 = "MPEI","Mata Pelajaran Elektif Ikhtisas",G2 = "MPET","Mata Pelajaran Elektif Teknikal",G2 = "MPV","Mata Pelajaran Vokasional",G2 = "MPAK","Mata Pelajaran Aliran Kebangsaan")</f>
        <v>Kokurikulum Standard Sekolah Menengah</v>
      </c>
      <c r="I2" t="str" cm="1">
        <f t="array" ref="I2">_xlfn.IFS(A2="SR","Sekolah Rendah",A2="SM","Sekolah Menengah")</f>
        <v>Sekolah Menengah</v>
      </c>
      <c r="J2" s="1" t="str" cm="1">
        <f t="array" ref="J2">_xlfn.SWITCH(B2,"T1","Tahun 1","T2","Tahun 2","T3","Tahun 3","T4","Tahun 4","T5","Tahun 5","T6","Tahun 6","TB1","Tingkatan 1","TB2","Tingkatan 2","TB3","Tingkatan 3","TA4","Tingkatan 4","TA5","Tingkatan 5")</f>
        <v>Tingkatan 1</v>
      </c>
      <c r="K2" t="b">
        <f>IF(COUNTIF(E2,"*DLP*"),TRUE)</f>
        <v>0</v>
      </c>
      <c r="L2" s="2" t="s">
        <v>130</v>
      </c>
    </row>
    <row r="3" spans="1:12" x14ac:dyDescent="0.3">
      <c r="A3" t="s">
        <v>8</v>
      </c>
      <c r="B3" t="s">
        <v>20</v>
      </c>
      <c r="C3">
        <f>C2+1</f>
        <v>2</v>
      </c>
      <c r="D3" s="2" t="str" cm="1">
        <f t="array" ref="D3">A3&amp;B3&amp;_xlfn.IFS(C3 &lt; 10,"B00"&amp;C3,AND(C3 &gt;= 10,C3 &lt; 100),"B0"&amp;C3,C3 &gt;= 100,"B"&amp;C3)</f>
        <v>SMTB1B002</v>
      </c>
      <c r="E3" t="s">
        <v>28</v>
      </c>
      <c r="F3" s="2" t="str">
        <f>SUBSTITUTE(E3,"DLP"," ")</f>
        <v>Bahasa Arab</v>
      </c>
      <c r="G3" t="s">
        <v>36</v>
      </c>
      <c r="H3" s="2" t="str" cm="1">
        <f t="array" ref="H3">_xlfn.IFS(G3 = "KSSR","Kokurikulum Standard Sekolah Rendah",G3 = "KSSM","Kokurikulum Standard Sekolah Menengah",G3 = "KBDKBT","Kokurikulum Bersepadu Dini dan Kokurikulum Bersepadu Tahfiz",G3 = "SSeM","Sekolah Seni Malaysia",G3 = "KC","Kesusasteraan Cina",G3 = "KSSMPK","Pendidikan Khas",G3 = "MPEI","Mata Pelajaran Elektif Ikhtisas",G3 = "MPET","Mata Pelajaran Elektif Teknikal",G3 = "MPV","Mata Pelajaran Vokasional",G3 = "MPAK","Mata Pelajaran Aliran Kebangsaan")</f>
        <v>Kokurikulum Standard Sekolah Menengah</v>
      </c>
      <c r="I3" t="str" cm="1">
        <f t="array" ref="I3">_xlfn.IFS(A3="SR","Sekolah Rendah",A3="SM","Sekolah Menengah")</f>
        <v>Sekolah Menengah</v>
      </c>
      <c r="J3" s="1" t="str" cm="1">
        <f t="array" ref="J3">_xlfn.SWITCH(B3,"T1","Tahun 1","T2","Tahun 2","T3","Tahun 3","T4","Tahun 4","T5","Tahun 5","T6","Tahun 6","TB1","Tingkatan 1","TB2","Tingkatan 2","TB3","Tingkatan 3","TA4","Tingkatan 4","TA5","Tingkatan 5")</f>
        <v>Tingkatan 1</v>
      </c>
      <c r="K3" t="b">
        <f>IF(COUNTIF(E3,"*DLP*"),TRUE)</f>
        <v>0</v>
      </c>
      <c r="L3" s="2" t="s">
        <v>130</v>
      </c>
    </row>
    <row r="4" spans="1:12" x14ac:dyDescent="0.3">
      <c r="A4" t="s">
        <v>8</v>
      </c>
      <c r="B4" t="s">
        <v>20</v>
      </c>
      <c r="C4">
        <f>C3+1</f>
        <v>3</v>
      </c>
      <c r="D4" s="2" t="str" cm="1">
        <f t="array" ref="D4">A4&amp;B4&amp;_xlfn.IFS(C4 &lt; 10,"B00"&amp;C4,AND(C4 &gt;= 10,C4 &lt; 100),"B0"&amp;C4,C4 &gt;= 100,"B"&amp;C4)</f>
        <v>SMTB1B003</v>
      </c>
      <c r="E4" t="s">
        <v>30</v>
      </c>
      <c r="F4" s="2" t="str">
        <f>SUBSTITUTE(E4,"DLP"," ")</f>
        <v>Bahasa Cina</v>
      </c>
      <c r="G4" t="s">
        <v>36</v>
      </c>
      <c r="H4" s="2" t="str" cm="1">
        <f t="array" ref="H4">_xlfn.IFS(G4 = "KSSR","Kokurikulum Standard Sekolah Rendah",G4 = "KSSM","Kokurikulum Standard Sekolah Menengah",G4 = "KBDKBT","Kokurikulum Bersepadu Dini dan Kokurikulum Bersepadu Tahfiz",G4 = "SSeM","Sekolah Seni Malaysia",G4 = "KC","Kesusasteraan Cina",G4 = "KSSMPK","Pendidikan Khas",G4 = "MPEI","Mata Pelajaran Elektif Ikhtisas",G4 = "MPET","Mata Pelajaran Elektif Teknikal",G4 = "MPV","Mata Pelajaran Vokasional",G4 = "MPAK","Mata Pelajaran Aliran Kebangsaan")</f>
        <v>Kokurikulum Standard Sekolah Menengah</v>
      </c>
      <c r="I4" t="str" cm="1">
        <f t="array" ref="I4">_xlfn.IFS(A4="SR","Sekolah Rendah",A4="SM","Sekolah Menengah")</f>
        <v>Sekolah Menengah</v>
      </c>
      <c r="J4" s="1" t="str" cm="1">
        <f t="array" ref="J4">_xlfn.SWITCH(B4,"T1","Tahun 1","T2","Tahun 2","T3","Tahun 3","T4","Tahun 4","T5","Tahun 5","T6","Tahun 6","TB1","Tingkatan 1","TB2","Tingkatan 2","TB3","Tingkatan 3","TA4","Tingkatan 4","TA5","Tingkatan 5")</f>
        <v>Tingkatan 1</v>
      </c>
      <c r="K4" t="b">
        <f>IF(COUNTIF(E4,"*DLP*"),TRUE)</f>
        <v>0</v>
      </c>
      <c r="L4" s="2" t="s">
        <v>130</v>
      </c>
    </row>
    <row r="5" spans="1:12" x14ac:dyDescent="0.3">
      <c r="A5" t="s">
        <v>8</v>
      </c>
      <c r="B5" t="s">
        <v>20</v>
      </c>
      <c r="C5">
        <f>C4+1</f>
        <v>4</v>
      </c>
      <c r="D5" s="2" t="str" cm="1">
        <f t="array" ref="D5">A5&amp;B5&amp;_xlfn.IFS(C5 &lt; 10,"B00"&amp;C5,AND(C5 &gt;= 10,C5 &lt; 100),"B0"&amp;C5,C5 &gt;= 100,"B"&amp;C5)</f>
        <v>SMTB1B004</v>
      </c>
      <c r="E5" t="s">
        <v>29</v>
      </c>
      <c r="F5" s="2" t="str">
        <f>SUBSTITUTE(E5,"DLP"," ")</f>
        <v>Bahasa Cina Komunikasi</v>
      </c>
      <c r="G5" t="s">
        <v>36</v>
      </c>
      <c r="H5" s="2" t="str" cm="1">
        <f t="array" ref="H5">_xlfn.IFS(G5 = "KSSR","Kokurikulum Standard Sekolah Rendah",G5 = "KSSM","Kokurikulum Standard Sekolah Menengah",G5 = "KBDKBT","Kokurikulum Bersepadu Dini dan Kokurikulum Bersepadu Tahfiz",G5 = "SSeM","Sekolah Seni Malaysia",G5 = "KC","Kesusasteraan Cina",G5 = "KSSMPK","Pendidikan Khas",G5 = "MPEI","Mata Pelajaran Elektif Ikhtisas",G5 = "MPET","Mata Pelajaran Elektif Teknikal",G5 = "MPV","Mata Pelajaran Vokasional",G5 = "MPAK","Mata Pelajaran Aliran Kebangsaan")</f>
        <v>Kokurikulum Standard Sekolah Menengah</v>
      </c>
      <c r="I5" t="str" cm="1">
        <f t="array" ref="I5">_xlfn.IFS(A5="SR","Sekolah Rendah",A5="SM","Sekolah Menengah")</f>
        <v>Sekolah Menengah</v>
      </c>
      <c r="J5" s="1" t="str" cm="1">
        <f t="array" ref="J5">_xlfn.SWITCH(B5,"T1","Tahun 1","T2","Tahun 2","T3","Tahun 3","T4","Tahun 4","T5","Tahun 5","T6","Tahun 6","TB1","Tingkatan 1","TB2","Tingkatan 2","TB3","Tingkatan 3","TA4","Tingkatan 4","TA5","Tingkatan 5")</f>
        <v>Tingkatan 1</v>
      </c>
      <c r="K5" t="b">
        <f>IF(COUNTIF(E5,"*DLP*"),TRUE)</f>
        <v>0</v>
      </c>
      <c r="L5" s="2" t="s">
        <v>130</v>
      </c>
    </row>
    <row r="6" spans="1:12" x14ac:dyDescent="0.3">
      <c r="A6" t="s">
        <v>8</v>
      </c>
      <c r="B6" t="s">
        <v>20</v>
      </c>
      <c r="C6">
        <f>C5+1</f>
        <v>5</v>
      </c>
      <c r="D6" s="2" t="str" cm="1">
        <f t="array" ref="D6">A6&amp;B6&amp;_xlfn.IFS(C6 &lt; 10,"B00"&amp;C6,AND(C6 &gt;= 10,C6 &lt; 100),"B0"&amp;C6,C6 &gt;= 100,"B"&amp;C6)</f>
        <v>SMTB1B005</v>
      </c>
      <c r="E6" t="s">
        <v>32</v>
      </c>
      <c r="F6" s="2" t="str">
        <f>SUBSTITUTE(E6,"DLP"," ")</f>
        <v>Bahasa Jepun (Menengah Rendah)</v>
      </c>
      <c r="G6" t="s">
        <v>36</v>
      </c>
      <c r="H6" s="2" t="str" cm="1">
        <f t="array" ref="H6">_xlfn.IFS(G6 = "KSSR","Kokurikulum Standard Sekolah Rendah",G6 = "KSSM","Kokurikulum Standard Sekolah Menengah",G6 = "KBDKBT","Kokurikulum Bersepadu Dini dan Kokurikulum Bersepadu Tahfiz",G6 = "SSeM","Sekolah Seni Malaysia",G6 = "KC","Kesusasteraan Cina",G6 = "KSSMPK","Pendidikan Khas",G6 = "MPEI","Mata Pelajaran Elektif Ikhtisas",G6 = "MPET","Mata Pelajaran Elektif Teknikal",G6 = "MPV","Mata Pelajaran Vokasional",G6 = "MPAK","Mata Pelajaran Aliran Kebangsaan")</f>
        <v>Kokurikulum Standard Sekolah Menengah</v>
      </c>
      <c r="I6" t="str" cm="1">
        <f t="array" ref="I6">_xlfn.IFS(A6="SR","Sekolah Rendah",A6="SM","Sekolah Menengah")</f>
        <v>Sekolah Menengah</v>
      </c>
      <c r="J6" s="1" t="str" cm="1">
        <f t="array" ref="J6">_xlfn.SWITCH(B6,"T1","Tahun 1","T2","Tahun 2","T3","Tahun 3","T4","Tahun 4","T5","Tahun 5","T6","Tahun 6","TB1","Tingkatan 1","TB2","Tingkatan 2","TB3","Tingkatan 3","TA4","Tingkatan 4","TA5","Tingkatan 5")</f>
        <v>Tingkatan 1</v>
      </c>
      <c r="K6" t="b">
        <f>IF(COUNTIF(E6,"*DLP*"),TRUE)</f>
        <v>0</v>
      </c>
      <c r="L6" s="2" t="s">
        <v>130</v>
      </c>
    </row>
    <row r="7" spans="1:12" x14ac:dyDescent="0.3">
      <c r="A7" t="s">
        <v>8</v>
      </c>
      <c r="B7" t="s">
        <v>20</v>
      </c>
      <c r="C7">
        <f>C6+1</f>
        <v>6</v>
      </c>
      <c r="D7" s="2" t="str" cm="1">
        <f t="array" ref="D7">A7&amp;B7&amp;_xlfn.IFS(C7 &lt; 10,"B00"&amp;C7,AND(C7 &gt;= 10,C7 &lt; 100),"B0"&amp;C7,C7 &gt;= 100,"B"&amp;C7)</f>
        <v>SMTB1B006</v>
      </c>
      <c r="E7" t="s">
        <v>7</v>
      </c>
      <c r="F7" s="2" t="str">
        <f>SUBSTITUTE(E7,"DLP"," ")</f>
        <v>Bahasa Melayu</v>
      </c>
      <c r="G7" t="s">
        <v>36</v>
      </c>
      <c r="H7" s="2" t="str" cm="1">
        <f t="array" ref="H7">_xlfn.IFS(G7 = "KSSR","Kokurikulum Standard Sekolah Rendah",G7 = "KSSM","Kokurikulum Standard Sekolah Menengah",G7 = "KBDKBT","Kokurikulum Bersepadu Dini dan Kokurikulum Bersepadu Tahfiz",G7 = "SSeM","Sekolah Seni Malaysia",G7 = "KC","Kesusasteraan Cina",G7 = "KSSMPK","Pendidikan Khas",G7 = "MPEI","Mata Pelajaran Elektif Ikhtisas",G7 = "MPET","Mata Pelajaran Elektif Teknikal",G7 = "MPV","Mata Pelajaran Vokasional",G7 = "MPAK","Mata Pelajaran Aliran Kebangsaan")</f>
        <v>Kokurikulum Standard Sekolah Menengah</v>
      </c>
      <c r="I7" t="str" cm="1">
        <f t="array" ref="I7">_xlfn.IFS(A7="SR","Sekolah Rendah",A7="SM","Sekolah Menengah")</f>
        <v>Sekolah Menengah</v>
      </c>
      <c r="J7" s="1" t="str" cm="1">
        <f t="array" ref="J7">_xlfn.SWITCH(B7,"T1","Tahun 1","T2","Tahun 2","T3","Tahun 3","T4","Tahun 4","T5","Tahun 5","T6","Tahun 6","TB1","Tingkatan 1","TB2","Tingkatan 2","TB3","Tingkatan 3","TA4","Tingkatan 4","TA5","Tingkatan 5")</f>
        <v>Tingkatan 1</v>
      </c>
      <c r="K7" t="b">
        <f>IF(COUNTIF(E7,"*DLP*"),TRUE)</f>
        <v>0</v>
      </c>
      <c r="L7" s="2" t="s">
        <v>130</v>
      </c>
    </row>
    <row r="8" spans="1:12" x14ac:dyDescent="0.3">
      <c r="A8" t="s">
        <v>8</v>
      </c>
      <c r="B8" t="s">
        <v>20</v>
      </c>
      <c r="C8">
        <f>C7+1</f>
        <v>7</v>
      </c>
      <c r="D8" s="2" t="str" cm="1">
        <f t="array" ref="D8">A8&amp;B8&amp;_xlfn.IFS(C8 &lt; 10,"B00"&amp;C8,AND(C8 &gt;= 10,C8 &lt; 100),"B0"&amp;C8,C8 &gt;= 100,"B"&amp;C8)</f>
        <v>SMTB1B007</v>
      </c>
      <c r="E8" t="s">
        <v>31</v>
      </c>
      <c r="F8" s="2" t="str">
        <f>SUBSTITUTE(E8,"DLP"," ")</f>
        <v>Bahasa Semai</v>
      </c>
      <c r="G8" t="s">
        <v>36</v>
      </c>
      <c r="H8" s="2" t="str" cm="1">
        <f t="array" ref="H8">_xlfn.IFS(G8 = "KSSR","Kokurikulum Standard Sekolah Rendah",G8 = "KSSM","Kokurikulum Standard Sekolah Menengah",G8 = "KBDKBT","Kokurikulum Bersepadu Dini dan Kokurikulum Bersepadu Tahfiz",G8 = "SSeM","Sekolah Seni Malaysia",G8 = "KC","Kesusasteraan Cina",G8 = "KSSMPK","Pendidikan Khas",G8 = "MPEI","Mata Pelajaran Elektif Ikhtisas",G8 = "MPET","Mata Pelajaran Elektif Teknikal",G8 = "MPV","Mata Pelajaran Vokasional",G8 = "MPAK","Mata Pelajaran Aliran Kebangsaan")</f>
        <v>Kokurikulum Standard Sekolah Menengah</v>
      </c>
      <c r="I8" t="str" cm="1">
        <f t="array" ref="I8">_xlfn.IFS(A8="SR","Sekolah Rendah",A8="SM","Sekolah Menengah")</f>
        <v>Sekolah Menengah</v>
      </c>
      <c r="J8" s="1" t="str" cm="1">
        <f t="array" ref="J8">_xlfn.SWITCH(B8,"T1","Tahun 1","T2","Tahun 2","T3","Tahun 3","T4","Tahun 4","T5","Tahun 5","T6","Tahun 6","TB1","Tingkatan 1","TB2","Tingkatan 2","TB3","Tingkatan 3","TA4","Tingkatan 4","TA5","Tingkatan 5")</f>
        <v>Tingkatan 1</v>
      </c>
      <c r="K8" t="b">
        <f>IF(COUNTIF(E8,"*DLP*"),TRUE)</f>
        <v>0</v>
      </c>
      <c r="L8" s="2" t="s">
        <v>130</v>
      </c>
    </row>
    <row r="9" spans="1:12" x14ac:dyDescent="0.3">
      <c r="A9" t="s">
        <v>8</v>
      </c>
      <c r="B9" t="s">
        <v>20</v>
      </c>
      <c r="C9">
        <f>C8+1</f>
        <v>8</v>
      </c>
      <c r="D9" s="2" t="str" cm="1">
        <f t="array" ref="D9">A9&amp;B9&amp;_xlfn.IFS(C9 &lt; 10,"B00"&amp;C9,AND(C9 &gt;= 10,C9 &lt; 100),"B0"&amp;C9,C9 &gt;= 100,"B"&amp;C9)</f>
        <v>SMTB1B008</v>
      </c>
      <c r="E9" t="s">
        <v>33</v>
      </c>
      <c r="F9" s="2" t="str">
        <f>SUBSTITUTE(E9,"DLP"," ")</f>
        <v>Bahasa Tamil</v>
      </c>
      <c r="G9" t="s">
        <v>36</v>
      </c>
      <c r="H9" s="2" t="str" cm="1">
        <f t="array" ref="H9">_xlfn.IFS(G9 = "KSSR","Kokurikulum Standard Sekolah Rendah",G9 = "KSSM","Kokurikulum Standard Sekolah Menengah",G9 = "KBDKBT","Kokurikulum Bersepadu Dini dan Kokurikulum Bersepadu Tahfiz",G9 = "SSeM","Sekolah Seni Malaysia",G9 = "KC","Kesusasteraan Cina",G9 = "KSSMPK","Pendidikan Khas",G9 = "MPEI","Mata Pelajaran Elektif Ikhtisas",G9 = "MPET","Mata Pelajaran Elektif Teknikal",G9 = "MPV","Mata Pelajaran Vokasional",G9 = "MPAK","Mata Pelajaran Aliran Kebangsaan")</f>
        <v>Kokurikulum Standard Sekolah Menengah</v>
      </c>
      <c r="I9" t="str" cm="1">
        <f t="array" ref="I9">_xlfn.IFS(A9="SR","Sekolah Rendah",A9="SM","Sekolah Menengah")</f>
        <v>Sekolah Menengah</v>
      </c>
      <c r="J9" s="1" t="str" cm="1">
        <f t="array" ref="J9">_xlfn.SWITCH(B9,"T1","Tahun 1","T2","Tahun 2","T3","Tahun 3","T4","Tahun 4","T5","Tahun 5","T6","Tahun 6","TB1","Tingkatan 1","TB2","Tingkatan 2","TB3","Tingkatan 3","TA4","Tingkatan 4","TA5","Tingkatan 5")</f>
        <v>Tingkatan 1</v>
      </c>
      <c r="K9" t="b">
        <f>IF(COUNTIF(E9,"*DLP*"),TRUE)</f>
        <v>0</v>
      </c>
      <c r="L9" s="2" t="s">
        <v>130</v>
      </c>
    </row>
    <row r="10" spans="1:12" x14ac:dyDescent="0.3">
      <c r="A10" t="s">
        <v>8</v>
      </c>
      <c r="B10" t="s">
        <v>20</v>
      </c>
      <c r="C10">
        <f>C9+1</f>
        <v>9</v>
      </c>
      <c r="D10" s="2" t="str" cm="1">
        <f t="array" ref="D10">A10&amp;B10&amp;_xlfn.IFS(C10 &lt; 10,"B00"&amp;C10,AND(C10 &gt;= 10,C10 &lt; 100),"B0"&amp;C10,C10 &gt;= 100,"B"&amp;C10)</f>
        <v>SMTB1B009</v>
      </c>
      <c r="E10" t="s">
        <v>9</v>
      </c>
      <c r="F10" s="2" t="str">
        <f>SUBSTITUTE(E10,"DLP"," ")</f>
        <v>English</v>
      </c>
      <c r="G10" t="s">
        <v>36</v>
      </c>
      <c r="H10" s="2" t="str" cm="1">
        <f t="array" ref="H10">_xlfn.IFS(G10 = "KSSR","Kokurikulum Standard Sekolah Rendah",G10 = "KSSM","Kokurikulum Standard Sekolah Menengah",G10 = "KBDKBT","Kokurikulum Bersepadu Dini dan Kokurikulum Bersepadu Tahfiz",G10 = "SSeM","Sekolah Seni Malaysia",G10 = "KC","Kesusasteraan Cina",G10 = "KSSMPK","Pendidikan Khas",G10 = "MPEI","Mata Pelajaran Elektif Ikhtisas",G10 = "MPET","Mata Pelajaran Elektif Teknikal",G10 = "MPV","Mata Pelajaran Vokasional",G10 = "MPAK","Mata Pelajaran Aliran Kebangsaan")</f>
        <v>Kokurikulum Standard Sekolah Menengah</v>
      </c>
      <c r="I10" t="str" cm="1">
        <f t="array" ref="I10">_xlfn.IFS(A10="SR","Sekolah Rendah",A10="SM","Sekolah Menengah")</f>
        <v>Sekolah Menengah</v>
      </c>
      <c r="J10" s="1" t="str" cm="1">
        <f t="array" ref="J10">_xlfn.SWITCH(B10,"T1","Tahun 1","T2","Tahun 2","T3","Tahun 3","T4","Tahun 4","T5","Tahun 5","T6","Tahun 6","TB1","Tingkatan 1","TB2","Tingkatan 2","TB3","Tingkatan 3","TA4","Tingkatan 4","TA5","Tingkatan 5")</f>
        <v>Tingkatan 1</v>
      </c>
      <c r="K10" t="b">
        <f>IF(COUNTIF(E10,"*DLP*"),TRUE)</f>
        <v>0</v>
      </c>
      <c r="L10" s="2" t="s">
        <v>130</v>
      </c>
    </row>
    <row r="11" spans="1:12" x14ac:dyDescent="0.3">
      <c r="A11" t="s">
        <v>8</v>
      </c>
      <c r="B11" t="s">
        <v>20</v>
      </c>
      <c r="C11">
        <f>C10+1</f>
        <v>10</v>
      </c>
      <c r="D11" s="2" t="str" cm="1">
        <f t="array" ref="D11">A11&amp;B11&amp;_xlfn.IFS(C11 &lt; 10,"B00"&amp;C11,AND(C11 &gt;= 10,C11 &lt; 100),"B0"&amp;C11,C11 &gt;= 100,"B"&amp;C11)</f>
        <v>SMTB1B010</v>
      </c>
      <c r="E11" t="s">
        <v>17</v>
      </c>
      <c r="F11" s="2" t="str">
        <f>SUBSTITUTE(E11,"DLP"," ")</f>
        <v>Geografi</v>
      </c>
      <c r="G11" t="s">
        <v>36</v>
      </c>
      <c r="H11" s="2" t="str" cm="1">
        <f t="array" ref="H11">_xlfn.IFS(G11 = "KSSR","Kokurikulum Standard Sekolah Rendah",G11 = "KSSM","Kokurikulum Standard Sekolah Menengah",G11 = "KBDKBT","Kokurikulum Bersepadu Dini dan Kokurikulum Bersepadu Tahfiz",G11 = "SSeM","Sekolah Seni Malaysia",G11 = "KC","Kesusasteraan Cina",G11 = "KSSMPK","Pendidikan Khas",G11 = "MPEI","Mata Pelajaran Elektif Ikhtisas",G11 = "MPET","Mata Pelajaran Elektif Teknikal",G11 = "MPV","Mata Pelajaran Vokasional",G11 = "MPAK","Mata Pelajaran Aliran Kebangsaan")</f>
        <v>Kokurikulum Standard Sekolah Menengah</v>
      </c>
      <c r="I11" t="str" cm="1">
        <f t="array" ref="I11">_xlfn.IFS(A11="SR","Sekolah Rendah",A11="SM","Sekolah Menengah")</f>
        <v>Sekolah Menengah</v>
      </c>
      <c r="J11" s="1" t="str" cm="1">
        <f t="array" ref="J11">_xlfn.SWITCH(B11,"T1","Tahun 1","T2","Tahun 2","T3","Tahun 3","T4","Tahun 4","T5","Tahun 5","T6","Tahun 6","TB1","Tingkatan 1","TB2","Tingkatan 2","TB3","Tingkatan 3","TA4","Tingkatan 4","TA5","Tingkatan 5")</f>
        <v>Tingkatan 1</v>
      </c>
      <c r="K11" t="b">
        <f>IF(COUNTIF(E11,"*DLP*"),TRUE)</f>
        <v>0</v>
      </c>
      <c r="L11" s="2" t="s">
        <v>130</v>
      </c>
    </row>
    <row r="12" spans="1:12" x14ac:dyDescent="0.3">
      <c r="A12" t="s">
        <v>8</v>
      </c>
      <c r="B12" t="s">
        <v>20</v>
      </c>
      <c r="C12">
        <f>C11+1</f>
        <v>11</v>
      </c>
      <c r="D12" s="2" t="str" cm="1">
        <f t="array" ref="D12">A12&amp;B12&amp;_xlfn.IFS(C12 &lt; 10,"B00"&amp;C12,AND(C12 &gt;= 10,C12 &lt; 100),"B0"&amp;C12,C12 &gt;= 100,"B"&amp;C12)</f>
        <v>SMTB1B011</v>
      </c>
      <c r="E12" t="s">
        <v>11</v>
      </c>
      <c r="F12" s="2" t="str">
        <f>SUBSTITUTE(E12,"DLP"," ")</f>
        <v>Matematik</v>
      </c>
      <c r="G12" t="s">
        <v>36</v>
      </c>
      <c r="H12" s="2" t="str" cm="1">
        <f t="array" ref="H12">_xlfn.IFS(G12 = "KSSR","Kokurikulum Standard Sekolah Rendah",G12 = "KSSM","Kokurikulum Standard Sekolah Menengah",G12 = "KBDKBT","Kokurikulum Bersepadu Dini dan Kokurikulum Bersepadu Tahfiz",G12 = "SSeM","Sekolah Seni Malaysia",G12 = "KC","Kesusasteraan Cina",G12 = "KSSMPK","Pendidikan Khas",G12 = "MPEI","Mata Pelajaran Elektif Ikhtisas",G12 = "MPET","Mata Pelajaran Elektif Teknikal",G12 = "MPV","Mata Pelajaran Vokasional",G12 = "MPAK","Mata Pelajaran Aliran Kebangsaan")</f>
        <v>Kokurikulum Standard Sekolah Menengah</v>
      </c>
      <c r="I12" t="str" cm="1">
        <f t="array" ref="I12">_xlfn.IFS(A12="SR","Sekolah Rendah",A12="SM","Sekolah Menengah")</f>
        <v>Sekolah Menengah</v>
      </c>
      <c r="J12" s="1" t="str" cm="1">
        <f t="array" ref="J12">_xlfn.SWITCH(B12,"T1","Tahun 1","T2","Tahun 2","T3","Tahun 3","T4","Tahun 4","T5","Tahun 5","T6","Tahun 6","TB1","Tingkatan 1","TB2","Tingkatan 2","TB3","Tingkatan 3","TA4","Tingkatan 4","TA5","Tingkatan 5")</f>
        <v>Tingkatan 1</v>
      </c>
      <c r="K12" t="b">
        <f>IF(COUNTIF(E12,"*DLP*"),TRUE)</f>
        <v>0</v>
      </c>
      <c r="L12" s="2" t="s">
        <v>130</v>
      </c>
    </row>
    <row r="13" spans="1:12" x14ac:dyDescent="0.3">
      <c r="A13" t="s">
        <v>8</v>
      </c>
      <c r="B13" t="s">
        <v>20</v>
      </c>
      <c r="C13">
        <f>C12+1</f>
        <v>12</v>
      </c>
      <c r="D13" s="2" t="str" cm="1">
        <f t="array" ref="D13">A13&amp;B13&amp;_xlfn.IFS(C13 &lt; 10,"B00"&amp;C13,AND(C13 &gt;= 10,C13 &lt; 100),"B0"&amp;C13,C13 &gt;= 100,"B"&amp;C13)</f>
        <v>SMTB1B012</v>
      </c>
      <c r="E13" t="s">
        <v>14</v>
      </c>
      <c r="F13" s="2" t="str">
        <f>SUBSTITUTE(E13,"DLP"," ")</f>
        <v xml:space="preserve">Mathematics  </v>
      </c>
      <c r="G13" t="s">
        <v>36</v>
      </c>
      <c r="H13" s="2" t="str" cm="1">
        <f t="array" ref="H13">_xlfn.IFS(G13 = "KSSR","Kokurikulum Standard Sekolah Rendah",G13 = "KSSM","Kokurikulum Standard Sekolah Menengah",G13 = "KBDKBT","Kokurikulum Bersepadu Dini dan Kokurikulum Bersepadu Tahfiz",G13 = "SSeM","Sekolah Seni Malaysia",G13 = "KC","Kesusasteraan Cina",G13 = "KSSMPK","Pendidikan Khas",G13 = "MPEI","Mata Pelajaran Elektif Ikhtisas",G13 = "MPET","Mata Pelajaran Elektif Teknikal",G13 = "MPV","Mata Pelajaran Vokasional",G13 = "MPAK","Mata Pelajaran Aliran Kebangsaan")</f>
        <v>Kokurikulum Standard Sekolah Menengah</v>
      </c>
      <c r="I13" t="str" cm="1">
        <f t="array" ref="I13">_xlfn.IFS(A13="SR","Sekolah Rendah",A13="SM","Sekolah Menengah")</f>
        <v>Sekolah Menengah</v>
      </c>
      <c r="J13" s="1" t="str" cm="1">
        <f t="array" ref="J13">_xlfn.SWITCH(B13,"T1","Tahun 1","T2","Tahun 2","T3","Tahun 3","T4","Tahun 4","T5","Tahun 5","T6","Tahun 6","TB1","Tingkatan 1","TB2","Tingkatan 2","TB3","Tingkatan 3","TA4","Tingkatan 4","TA5","Tingkatan 5")</f>
        <v>Tingkatan 1</v>
      </c>
      <c r="K13" t="b">
        <f>IF(COUNTIF(E13,"*DLP*"),TRUE)</f>
        <v>1</v>
      </c>
      <c r="L13" s="2" t="s">
        <v>130</v>
      </c>
    </row>
    <row r="14" spans="1:12" x14ac:dyDescent="0.3">
      <c r="A14" t="s">
        <v>8</v>
      </c>
      <c r="B14" t="s">
        <v>20</v>
      </c>
      <c r="C14">
        <f>C13+1</f>
        <v>13</v>
      </c>
      <c r="D14" s="2" t="str" cm="1">
        <f t="array" ref="D14">A14&amp;B14&amp;_xlfn.IFS(C14 &lt; 10,"B00"&amp;C14,AND(C14 &gt;= 10,C14 &lt; 100),"B0"&amp;C14,C14 &gt;= 100,"B"&amp;C14)</f>
        <v>SMTB1B013</v>
      </c>
      <c r="E14" t="s">
        <v>25</v>
      </c>
      <c r="F14" s="2" t="str">
        <f>SUBSTITUTE(E14,"DLP"," ")</f>
        <v>Pendidikan Islam</v>
      </c>
      <c r="G14" t="s">
        <v>36</v>
      </c>
      <c r="H14" s="2" t="str" cm="1">
        <f t="array" ref="H14">_xlfn.IFS(G14 = "KSSR","Kokurikulum Standard Sekolah Rendah",G14 = "KSSM","Kokurikulum Standard Sekolah Menengah",G14 = "KBDKBT","Kokurikulum Bersepadu Dini dan Kokurikulum Bersepadu Tahfiz",G14 = "SSeM","Sekolah Seni Malaysia",G14 = "KC","Kesusasteraan Cina",G14 = "KSSMPK","Pendidikan Khas",G14 = "MPEI","Mata Pelajaran Elektif Ikhtisas",G14 = "MPET","Mata Pelajaran Elektif Teknikal",G14 = "MPV","Mata Pelajaran Vokasional",G14 = "MPAK","Mata Pelajaran Aliran Kebangsaan")</f>
        <v>Kokurikulum Standard Sekolah Menengah</v>
      </c>
      <c r="I14" t="str" cm="1">
        <f t="array" ref="I14">_xlfn.IFS(A14="SR","Sekolah Rendah",A14="SM","Sekolah Menengah")</f>
        <v>Sekolah Menengah</v>
      </c>
      <c r="J14" s="1" t="str" cm="1">
        <f t="array" ref="J14">_xlfn.SWITCH(B14,"T1","Tahun 1","T2","Tahun 2","T3","Tahun 3","T4","Tahun 4","T5","Tahun 5","T6","Tahun 6","TB1","Tingkatan 1","TB2","Tingkatan 2","TB3","Tingkatan 3","TA4","Tingkatan 4","TA5","Tingkatan 5")</f>
        <v>Tingkatan 1</v>
      </c>
      <c r="K14" t="b">
        <f>IF(COUNTIF(E14,"*DLP*"),TRUE)</f>
        <v>0</v>
      </c>
      <c r="L14" s="2" t="s">
        <v>130</v>
      </c>
    </row>
    <row r="15" spans="1:12" x14ac:dyDescent="0.3">
      <c r="A15" t="s">
        <v>8</v>
      </c>
      <c r="B15" t="s">
        <v>20</v>
      </c>
      <c r="C15">
        <f>C14+1</f>
        <v>14</v>
      </c>
      <c r="D15" s="2" t="str" cm="1">
        <f t="array" ref="D15">A15&amp;B15&amp;_xlfn.IFS(C15 &lt; 10,"B00"&amp;C15,AND(C15 &gt;= 10,C15 &lt; 100),"B0"&amp;C15,C15 &gt;= 100,"B"&amp;C15)</f>
        <v>SMTB1B014</v>
      </c>
      <c r="E15" t="s">
        <v>26</v>
      </c>
      <c r="F15" s="2" t="str">
        <f>SUBSTITUTE(E15,"DLP"," ")</f>
        <v>Pendidikan Jasmani dan Pendidikan Kesihatan</v>
      </c>
      <c r="G15" t="s">
        <v>36</v>
      </c>
      <c r="H15" s="2" t="str" cm="1">
        <f t="array" ref="H15">_xlfn.IFS(G15 = "KSSR","Kokurikulum Standard Sekolah Rendah",G15 = "KSSM","Kokurikulum Standard Sekolah Menengah",G15 = "KBDKBT","Kokurikulum Bersepadu Dini dan Kokurikulum Bersepadu Tahfiz",G15 = "SSeM","Sekolah Seni Malaysia",G15 = "KC","Kesusasteraan Cina",G15 = "KSSMPK","Pendidikan Khas",G15 = "MPEI","Mata Pelajaran Elektif Ikhtisas",G15 = "MPET","Mata Pelajaran Elektif Teknikal",G15 = "MPV","Mata Pelajaran Vokasional",G15 = "MPAK","Mata Pelajaran Aliran Kebangsaan")</f>
        <v>Kokurikulum Standard Sekolah Menengah</v>
      </c>
      <c r="I15" t="str" cm="1">
        <f t="array" ref="I15">_xlfn.IFS(A15="SR","Sekolah Rendah",A15="SM","Sekolah Menengah")</f>
        <v>Sekolah Menengah</v>
      </c>
      <c r="J15" s="1" t="str" cm="1">
        <f t="array" ref="J15">_xlfn.SWITCH(B15,"T1","Tahun 1","T2","Tahun 2","T3","Tahun 3","T4","Tahun 4","T5","Tahun 5","T6","Tahun 6","TB1","Tingkatan 1","TB2","Tingkatan 2","TB3","Tingkatan 3","TA4","Tingkatan 4","TA5","Tingkatan 5")</f>
        <v>Tingkatan 1</v>
      </c>
      <c r="K15" t="b">
        <f>IF(COUNTIF(E15,"*DLP*"),TRUE)</f>
        <v>0</v>
      </c>
      <c r="L15" s="2" t="s">
        <v>130</v>
      </c>
    </row>
    <row r="16" spans="1:12" x14ac:dyDescent="0.3">
      <c r="A16" t="s">
        <v>8</v>
      </c>
      <c r="B16" t="s">
        <v>20</v>
      </c>
      <c r="C16">
        <f>C15+1</f>
        <v>15</v>
      </c>
      <c r="D16" s="2" t="str" cm="1">
        <f t="array" ref="D16">A16&amp;B16&amp;_xlfn.IFS(C16 &lt; 10,"B00"&amp;C16,AND(C16 &gt;= 10,C16 &lt; 100),"B0"&amp;C16,C16 &gt;= 100,"B"&amp;C16)</f>
        <v>SMTB1B015</v>
      </c>
      <c r="E16" t="s">
        <v>27</v>
      </c>
      <c r="F16" s="2" t="str">
        <f>SUBSTITUTE(E16,"DLP"," ")</f>
        <v>Pendidikan Moral</v>
      </c>
      <c r="G16" t="s">
        <v>36</v>
      </c>
      <c r="H16" s="2" t="str" cm="1">
        <f t="array" ref="H16">_xlfn.IFS(G16 = "KSSR","Kokurikulum Standard Sekolah Rendah",G16 = "KSSM","Kokurikulum Standard Sekolah Menengah",G16 = "KBDKBT","Kokurikulum Bersepadu Dini dan Kokurikulum Bersepadu Tahfiz",G16 = "SSeM","Sekolah Seni Malaysia",G16 = "KC","Kesusasteraan Cina",G16 = "KSSMPK","Pendidikan Khas",G16 = "MPEI","Mata Pelajaran Elektif Ikhtisas",G16 = "MPET","Mata Pelajaran Elektif Teknikal",G16 = "MPV","Mata Pelajaran Vokasional",G16 = "MPAK","Mata Pelajaran Aliran Kebangsaan")</f>
        <v>Kokurikulum Standard Sekolah Menengah</v>
      </c>
      <c r="I16" t="str" cm="1">
        <f t="array" ref="I16">_xlfn.IFS(A16="SR","Sekolah Rendah",A16="SM","Sekolah Menengah")</f>
        <v>Sekolah Menengah</v>
      </c>
      <c r="J16" s="1" t="str" cm="1">
        <f t="array" ref="J16">_xlfn.SWITCH(B16,"T1","Tahun 1","T2","Tahun 2","T3","Tahun 3","T4","Tahun 4","T5","Tahun 5","T6","Tahun 6","TB1","Tingkatan 1","TB2","Tingkatan 2","TB3","Tingkatan 3","TA4","Tingkatan 4","TA5","Tingkatan 5")</f>
        <v>Tingkatan 1</v>
      </c>
      <c r="K16" t="b">
        <f>IF(COUNTIF(E16,"*DLP*"),TRUE)</f>
        <v>0</v>
      </c>
      <c r="L16" s="2" t="s">
        <v>130</v>
      </c>
    </row>
    <row r="17" spans="1:12" x14ac:dyDescent="0.3">
      <c r="A17" t="s">
        <v>8</v>
      </c>
      <c r="B17" t="s">
        <v>20</v>
      </c>
      <c r="C17">
        <f>C16+1</f>
        <v>16</v>
      </c>
      <c r="D17" s="2" t="str" cm="1">
        <f t="array" ref="D17">A17&amp;B17&amp;_xlfn.IFS(C17 &lt; 10,"B00"&amp;C17,AND(C17 &gt;= 10,C17 &lt; 100),"B0"&amp;C17,C17 &gt;= 100,"B"&amp;C17)</f>
        <v>SMTB1B016</v>
      </c>
      <c r="E17" t="s">
        <v>24</v>
      </c>
      <c r="F17" s="2" t="str">
        <f>SUBSTITUTE(E17,"DLP"," ")</f>
        <v>Pendidikan Seni Visual</v>
      </c>
      <c r="G17" t="s">
        <v>36</v>
      </c>
      <c r="H17" s="2" t="str" cm="1">
        <f t="array" ref="H17">_xlfn.IFS(G17 = "KSSR","Kokurikulum Standard Sekolah Rendah",G17 = "KSSM","Kokurikulum Standard Sekolah Menengah",G17 = "KBDKBT","Kokurikulum Bersepadu Dini dan Kokurikulum Bersepadu Tahfiz",G17 = "SSeM","Sekolah Seni Malaysia",G17 = "KC","Kesusasteraan Cina",G17 = "KSSMPK","Pendidikan Khas",G17 = "MPEI","Mata Pelajaran Elektif Ikhtisas",G17 = "MPET","Mata Pelajaran Elektif Teknikal",G17 = "MPV","Mata Pelajaran Vokasional",G17 = "MPAK","Mata Pelajaran Aliran Kebangsaan")</f>
        <v>Kokurikulum Standard Sekolah Menengah</v>
      </c>
      <c r="I17" t="str" cm="1">
        <f t="array" ref="I17">_xlfn.IFS(A17="SR","Sekolah Rendah",A17="SM","Sekolah Menengah")</f>
        <v>Sekolah Menengah</v>
      </c>
      <c r="J17" s="1" t="str" cm="1">
        <f t="array" ref="J17">_xlfn.SWITCH(B17,"T1","Tahun 1","T2","Tahun 2","T3","Tahun 3","T4","Tahun 4","T5","Tahun 5","T6","Tahun 6","TB1","Tingkatan 1","TB2","Tingkatan 2","TB3","Tingkatan 3","TA4","Tingkatan 4","TA5","Tingkatan 5")</f>
        <v>Tingkatan 1</v>
      </c>
      <c r="K17" t="b">
        <f>IF(COUNTIF(E17,"*DLP*"),TRUE)</f>
        <v>0</v>
      </c>
      <c r="L17" s="2" t="s">
        <v>130</v>
      </c>
    </row>
    <row r="18" spans="1:12" x14ac:dyDescent="0.3">
      <c r="A18" t="s">
        <v>8</v>
      </c>
      <c r="B18" t="s">
        <v>20</v>
      </c>
      <c r="C18">
        <f>C17+1</f>
        <v>17</v>
      </c>
      <c r="D18" s="2" t="str" cm="1">
        <f t="array" ref="D18">A18&amp;B18&amp;_xlfn.IFS(C18 &lt; 10,"B00"&amp;C18,AND(C18 &gt;= 10,C18 &lt; 100),"B0"&amp;C18,C18 &gt;= 100,"B"&amp;C18)</f>
        <v>SMTB1B017</v>
      </c>
      <c r="E18" t="s">
        <v>10</v>
      </c>
      <c r="F18" s="2" t="str">
        <f>SUBSTITUTE(E18,"DLP"," ")</f>
        <v>Pulse 2</v>
      </c>
      <c r="G18" t="s">
        <v>36</v>
      </c>
      <c r="H18" s="2" t="str" cm="1">
        <f t="array" ref="H18">_xlfn.IFS(G18 = "KSSR","Kokurikulum Standard Sekolah Rendah",G18 = "KSSM","Kokurikulum Standard Sekolah Menengah",G18 = "KBDKBT","Kokurikulum Bersepadu Dini dan Kokurikulum Bersepadu Tahfiz",G18 = "SSeM","Sekolah Seni Malaysia",G18 = "KC","Kesusasteraan Cina",G18 = "KSSMPK","Pendidikan Khas",G18 = "MPEI","Mata Pelajaran Elektif Ikhtisas",G18 = "MPET","Mata Pelajaran Elektif Teknikal",G18 = "MPV","Mata Pelajaran Vokasional",G18 = "MPAK","Mata Pelajaran Aliran Kebangsaan")</f>
        <v>Kokurikulum Standard Sekolah Menengah</v>
      </c>
      <c r="I18" t="str" cm="1">
        <f t="array" ref="I18">_xlfn.IFS(A18="SR","Sekolah Rendah",A18="SM","Sekolah Menengah")</f>
        <v>Sekolah Menengah</v>
      </c>
      <c r="J18" s="1" t="str" cm="1">
        <f t="array" ref="J18">_xlfn.SWITCH(B18,"T1","Tahun 1","T2","Tahun 2","T3","Tahun 3","T4","Tahun 4","T5","Tahun 5","T6","Tahun 6","TB1","Tingkatan 1","TB2","Tingkatan 2","TB3","Tingkatan 3","TA4","Tingkatan 4","TA5","Tingkatan 5")</f>
        <v>Tingkatan 1</v>
      </c>
      <c r="K18" t="b">
        <f>IF(COUNTIF(E18,"*DLP*"),TRUE)</f>
        <v>0</v>
      </c>
      <c r="L18" s="2" t="s">
        <v>130</v>
      </c>
    </row>
    <row r="19" spans="1:12" x14ac:dyDescent="0.3">
      <c r="A19" t="s">
        <v>8</v>
      </c>
      <c r="B19" t="s">
        <v>20</v>
      </c>
      <c r="C19">
        <f>C18+1</f>
        <v>18</v>
      </c>
      <c r="D19" s="2" t="str" cm="1">
        <f t="array" ref="D19">A19&amp;B19&amp;_xlfn.IFS(C19 &lt; 10,"B00"&amp;C19,AND(C19 &gt;= 10,C19 &lt; 100),"B0"&amp;C19,C19 &gt;= 100,"B"&amp;C19)</f>
        <v>SMTB1B018</v>
      </c>
      <c r="E19" t="s">
        <v>19</v>
      </c>
      <c r="F19" s="2" t="str">
        <f>SUBSTITUTE(E19,"DLP"," ")</f>
        <v>Reka Bentuk dan Teknologi</v>
      </c>
      <c r="G19" t="s">
        <v>36</v>
      </c>
      <c r="H19" s="2" t="str" cm="1">
        <f t="array" ref="H19">_xlfn.IFS(G19 = "KSSR","Kokurikulum Standard Sekolah Rendah",G19 = "KSSM","Kokurikulum Standard Sekolah Menengah",G19 = "KBDKBT","Kokurikulum Bersepadu Dini dan Kokurikulum Bersepadu Tahfiz",G19 = "SSeM","Sekolah Seni Malaysia",G19 = "KC","Kesusasteraan Cina",G19 = "KSSMPK","Pendidikan Khas",G19 = "MPEI","Mata Pelajaran Elektif Ikhtisas",G19 = "MPET","Mata Pelajaran Elektif Teknikal",G19 = "MPV","Mata Pelajaran Vokasional",G19 = "MPAK","Mata Pelajaran Aliran Kebangsaan")</f>
        <v>Kokurikulum Standard Sekolah Menengah</v>
      </c>
      <c r="I19" t="str" cm="1">
        <f t="array" ref="I19">_xlfn.IFS(A19="SR","Sekolah Rendah",A19="SM","Sekolah Menengah")</f>
        <v>Sekolah Menengah</v>
      </c>
      <c r="J19" s="1" t="str" cm="1">
        <f t="array" ref="J19">_xlfn.SWITCH(B19,"T1","Tahun 1","T2","Tahun 2","T3","Tahun 3","T4","Tahun 4","T5","Tahun 5","T6","Tahun 6","TB1","Tingkatan 1","TB2","Tingkatan 2","TB3","Tingkatan 3","TA4","Tingkatan 4","TA5","Tingkatan 5")</f>
        <v>Tingkatan 1</v>
      </c>
      <c r="K19" t="b">
        <f>IF(COUNTIF(E19,"*DLP*"),TRUE)</f>
        <v>0</v>
      </c>
      <c r="L19" s="2" t="s">
        <v>130</v>
      </c>
    </row>
    <row r="20" spans="1:12" x14ac:dyDescent="0.3">
      <c r="A20" t="s">
        <v>8</v>
      </c>
      <c r="B20" t="s">
        <v>20</v>
      </c>
      <c r="C20">
        <f>C19+1</f>
        <v>19</v>
      </c>
      <c r="D20" s="2" t="str" cm="1">
        <f t="array" ref="D20">A20&amp;B20&amp;_xlfn.IFS(C20 &lt; 10,"B00"&amp;C20,AND(C20 &gt;= 10,C20 &lt; 100),"B0"&amp;C20,C20 &gt;= 100,"B"&amp;C20)</f>
        <v>SMTB1B019</v>
      </c>
      <c r="E20" t="s">
        <v>13</v>
      </c>
      <c r="F20" s="2" t="str">
        <f>SUBSTITUTE(E20,"DLP"," ")</f>
        <v>Sains</v>
      </c>
      <c r="G20" t="s">
        <v>36</v>
      </c>
      <c r="H20" s="2" t="str" cm="1">
        <f t="array" ref="H20">_xlfn.IFS(G20 = "KSSR","Kokurikulum Standard Sekolah Rendah",G20 = "KSSM","Kokurikulum Standard Sekolah Menengah",G20 = "KBDKBT","Kokurikulum Bersepadu Dini dan Kokurikulum Bersepadu Tahfiz",G20 = "SSeM","Sekolah Seni Malaysia",G20 = "KC","Kesusasteraan Cina",G20 = "KSSMPK","Pendidikan Khas",G20 = "MPEI","Mata Pelajaran Elektif Ikhtisas",G20 = "MPET","Mata Pelajaran Elektif Teknikal",G20 = "MPV","Mata Pelajaran Vokasional",G20 = "MPAK","Mata Pelajaran Aliran Kebangsaan")</f>
        <v>Kokurikulum Standard Sekolah Menengah</v>
      </c>
      <c r="I20" t="str" cm="1">
        <f t="array" ref="I20">_xlfn.IFS(A20="SR","Sekolah Rendah",A20="SM","Sekolah Menengah")</f>
        <v>Sekolah Menengah</v>
      </c>
      <c r="J20" s="1" t="str" cm="1">
        <f t="array" ref="J20">_xlfn.SWITCH(B20,"T1","Tahun 1","T2","Tahun 2","T3","Tahun 3","T4","Tahun 4","T5","Tahun 5","T6","Tahun 6","TB1","Tingkatan 1","TB2","Tingkatan 2","TB3","Tingkatan 3","TA4","Tingkatan 4","TA5","Tingkatan 5")</f>
        <v>Tingkatan 1</v>
      </c>
      <c r="K20" t="b">
        <f>IF(COUNTIF(E20,"*DLP*"),TRUE)</f>
        <v>0</v>
      </c>
      <c r="L20" s="2" t="s">
        <v>130</v>
      </c>
    </row>
    <row r="21" spans="1:12" x14ac:dyDescent="0.3">
      <c r="A21" t="s">
        <v>8</v>
      </c>
      <c r="B21" t="s">
        <v>20</v>
      </c>
      <c r="C21">
        <f>C20+1</f>
        <v>20</v>
      </c>
      <c r="D21" s="2" t="str" cm="1">
        <f t="array" ref="D21">A21&amp;B21&amp;_xlfn.IFS(C21 &lt; 10,"B00"&amp;C21,AND(C21 &gt;= 10,C21 &lt; 100),"B0"&amp;C21,C21 &gt;= 100,"B"&amp;C21)</f>
        <v>SMTB1B020</v>
      </c>
      <c r="E21" t="s">
        <v>16</v>
      </c>
      <c r="F21" s="2" t="str">
        <f>SUBSTITUTE(E21,"DLP"," ")</f>
        <v xml:space="preserve">Science  </v>
      </c>
      <c r="G21" t="s">
        <v>36</v>
      </c>
      <c r="H21" s="2" t="str" cm="1">
        <f t="array" ref="H21">_xlfn.IFS(G21 = "KSSR","Kokurikulum Standard Sekolah Rendah",G21 = "KSSM","Kokurikulum Standard Sekolah Menengah",G21 = "KBDKBT","Kokurikulum Bersepadu Dini dan Kokurikulum Bersepadu Tahfiz",G21 = "SSeM","Sekolah Seni Malaysia",G21 = "KC","Kesusasteraan Cina",G21 = "KSSMPK","Pendidikan Khas",G21 = "MPEI","Mata Pelajaran Elektif Ikhtisas",G21 = "MPET","Mata Pelajaran Elektif Teknikal",G21 = "MPV","Mata Pelajaran Vokasional",G21 = "MPAK","Mata Pelajaran Aliran Kebangsaan")</f>
        <v>Kokurikulum Standard Sekolah Menengah</v>
      </c>
      <c r="I21" t="str" cm="1">
        <f t="array" ref="I21">_xlfn.IFS(A21="SR","Sekolah Rendah",A21="SM","Sekolah Menengah")</f>
        <v>Sekolah Menengah</v>
      </c>
      <c r="J21" s="1" t="str" cm="1">
        <f t="array" ref="J21">_xlfn.SWITCH(B21,"T1","Tahun 1","T2","Tahun 2","T3","Tahun 3","T4","Tahun 4","T5","Tahun 5","T6","Tahun 6","TB1","Tingkatan 1","TB2","Tingkatan 2","TB3","Tingkatan 3","TA4","Tingkatan 4","TA5","Tingkatan 5")</f>
        <v>Tingkatan 1</v>
      </c>
      <c r="K21" t="b">
        <f>IF(COUNTIF(E21,"*DLP*"),TRUE)</f>
        <v>1</v>
      </c>
      <c r="L21" s="2" t="s">
        <v>130</v>
      </c>
    </row>
    <row r="22" spans="1:12" x14ac:dyDescent="0.3">
      <c r="A22" t="s">
        <v>8</v>
      </c>
      <c r="B22" t="s">
        <v>20</v>
      </c>
      <c r="C22">
        <f>C21+1</f>
        <v>21</v>
      </c>
      <c r="D22" s="2" t="str" cm="1">
        <f t="array" ref="D22">A22&amp;B22&amp;_xlfn.IFS(C22 &lt; 10,"B00"&amp;C22,AND(C22 &gt;= 10,C22 &lt; 100),"B0"&amp;C22,C22 &gt;= 100,"B"&amp;C22)</f>
        <v>SMTB1B021</v>
      </c>
      <c r="E22" t="s">
        <v>18</v>
      </c>
      <c r="F22" s="2" t="str">
        <f>SUBSTITUTE(E22,"DLP"," ")</f>
        <v>Sejarah</v>
      </c>
      <c r="G22" t="s">
        <v>36</v>
      </c>
      <c r="H22" s="2" t="str" cm="1">
        <f t="array" ref="H22">_xlfn.IFS(G22 = "KSSR","Kokurikulum Standard Sekolah Rendah",G22 = "KSSM","Kokurikulum Standard Sekolah Menengah",G22 = "KBDKBT","Kokurikulum Bersepadu Dini dan Kokurikulum Bersepadu Tahfiz",G22 = "SSeM","Sekolah Seni Malaysia",G22 = "KC","Kesusasteraan Cina",G22 = "KSSMPK","Pendidikan Khas",G22 = "MPEI","Mata Pelajaran Elektif Ikhtisas",G22 = "MPET","Mata Pelajaran Elektif Teknikal",G22 = "MPV","Mata Pelajaran Vokasional",G22 = "MPAK","Mata Pelajaran Aliran Kebangsaan")</f>
        <v>Kokurikulum Standard Sekolah Menengah</v>
      </c>
      <c r="I22" t="str" cm="1">
        <f t="array" ref="I22">_xlfn.IFS(A22="SR","Sekolah Rendah",A22="SM","Sekolah Menengah")</f>
        <v>Sekolah Menengah</v>
      </c>
      <c r="J22" s="1" t="str" cm="1">
        <f t="array" ref="J22">_xlfn.SWITCH(B22,"T1","Tahun 1","T2","Tahun 2","T3","Tahun 3","T4","Tahun 4","T5","Tahun 5","T6","Tahun 6","TB1","Tingkatan 1","TB2","Tingkatan 2","TB3","Tingkatan 3","TA4","Tingkatan 4","TA5","Tingkatan 5")</f>
        <v>Tingkatan 1</v>
      </c>
      <c r="K22" t="b">
        <f>IF(COUNTIF(E22,"*DLP*"),TRUE)</f>
        <v>0</v>
      </c>
      <c r="L22" s="2" t="s">
        <v>130</v>
      </c>
    </row>
    <row r="23" spans="1:12" x14ac:dyDescent="0.3">
      <c r="A23" t="s">
        <v>8</v>
      </c>
      <c r="B23" t="s">
        <v>20</v>
      </c>
      <c r="C23">
        <f>C22+1</f>
        <v>22</v>
      </c>
      <c r="D23" s="2" t="str" cm="1">
        <f t="array" ref="D23">A23&amp;B23&amp;_xlfn.IFS(C23 &lt; 10,"B00"&amp;C23,AND(C23 &gt;= 10,C23 &lt; 100),"B0"&amp;C23,C23 &gt;= 100,"B"&amp;C23)</f>
        <v>SMTB1B022</v>
      </c>
      <c r="E23" t="s">
        <v>37</v>
      </c>
      <c r="F23" s="2" t="str">
        <f>SUBSTITUTE(E23,"DLP"," ")</f>
        <v>Al-Syariah</v>
      </c>
      <c r="G23" t="s">
        <v>38</v>
      </c>
      <c r="H23" s="2" t="str" cm="1">
        <f t="array" ref="H23">_xlfn.IFS(G23 = "KSSR","Kokurikulum Standard Sekolah Rendah",G23 = "KSSM","Kokurikulum Standard Sekolah Menengah",G23 = "KBDKBT","Kokurikulum Bersepadu Dini dan Kokurikulum Bersepadu Tahfiz",G23 = "SSeM","Sekolah Seni Malaysia",G23 = "KC","Kesusasteraan Cina",G23 = "KSSMPK","Pendidikan Khas",G23 = "MPEI","Mata Pelajaran Elektif Ikhtisas",G23 = "MPET","Mata Pelajaran Elektif Teknikal",G23 = "MPV","Mata Pelajaran Vokasional",G23 = "MPAK","Mata Pelajaran Aliran Kebangsaan")</f>
        <v>Kokurikulum Bersepadu Dini dan Kokurikulum Bersepadu Tahfiz</v>
      </c>
      <c r="I23" t="str" cm="1">
        <f t="array" ref="I23">_xlfn.IFS(A23="SR","Sekolah Rendah",A23="SM","Sekolah Menengah")</f>
        <v>Sekolah Menengah</v>
      </c>
      <c r="J23" s="1" t="str" cm="1">
        <f t="array" ref="J23">_xlfn.SWITCH(B23,"T1","Tahun 1","T2","Tahun 2","T3","Tahun 3","T4","Tahun 4","T5","Tahun 5","T6","Tahun 6","TB1","Tingkatan 1","TB2","Tingkatan 2","TB3","Tingkatan 3","TA4","Tingkatan 4","TA5","Tingkatan 5")</f>
        <v>Tingkatan 1</v>
      </c>
      <c r="K23" t="b">
        <f>IF(COUNTIF(E23,"*DLP*"),TRUE)</f>
        <v>0</v>
      </c>
      <c r="L23" s="2" t="s">
        <v>130</v>
      </c>
    </row>
    <row r="24" spans="1:12" x14ac:dyDescent="0.3">
      <c r="A24" t="s">
        <v>8</v>
      </c>
      <c r="B24" t="s">
        <v>20</v>
      </c>
      <c r="C24">
        <f>C23+1</f>
        <v>23</v>
      </c>
      <c r="D24" s="2" t="str" cm="1">
        <f t="array" ref="D24">A24&amp;B24&amp;_xlfn.IFS(C24 &lt; 10,"B00"&amp;C24,AND(C24 &gt;= 10,C24 &lt; 100),"B0"&amp;C24,C24 &gt;= 100,"B"&amp;C24)</f>
        <v>SMTB1B023</v>
      </c>
      <c r="E24" t="s">
        <v>40</v>
      </c>
      <c r="F24" s="2" t="str">
        <f>SUBSTITUTE(E24,"DLP"," ")</f>
        <v>Daftar Hifz Al-Quran</v>
      </c>
      <c r="G24" t="s">
        <v>38</v>
      </c>
      <c r="H24" s="2" t="str" cm="1">
        <f t="array" ref="H24">_xlfn.IFS(G24 = "KSSR","Kokurikulum Standard Sekolah Rendah",G24 = "KSSM","Kokurikulum Standard Sekolah Menengah",G24 = "KBDKBT","Kokurikulum Bersepadu Dini dan Kokurikulum Bersepadu Tahfiz",G24 = "SSeM","Sekolah Seni Malaysia",G24 = "KC","Kesusasteraan Cina",G24 = "KSSMPK","Pendidikan Khas",G24 = "MPEI","Mata Pelajaran Elektif Ikhtisas",G24 = "MPET","Mata Pelajaran Elektif Teknikal",G24 = "MPV","Mata Pelajaran Vokasional",G24 = "MPAK","Mata Pelajaran Aliran Kebangsaan")</f>
        <v>Kokurikulum Bersepadu Dini dan Kokurikulum Bersepadu Tahfiz</v>
      </c>
      <c r="I24" t="str" cm="1">
        <f t="array" ref="I24">_xlfn.IFS(A24="SR","Sekolah Rendah",A24="SM","Sekolah Menengah")</f>
        <v>Sekolah Menengah</v>
      </c>
      <c r="J24" s="1" t="str" cm="1">
        <f t="array" ref="J24">_xlfn.SWITCH(B24,"T1","Tahun 1","T2","Tahun 2","T3","Tahun 3","T4","Tahun 4","T5","Tahun 5","T6","Tahun 6","TB1","Tingkatan 1","TB2","Tingkatan 2","TB3","Tingkatan 3","TA4","Tingkatan 4","TA5","Tingkatan 5")</f>
        <v>Tingkatan 1</v>
      </c>
      <c r="K24" t="b">
        <f>IF(COUNTIF(E24,"*DLP*"),TRUE)</f>
        <v>0</v>
      </c>
      <c r="L24" s="2" t="s">
        <v>130</v>
      </c>
    </row>
    <row r="25" spans="1:12" x14ac:dyDescent="0.3">
      <c r="A25" t="s">
        <v>8</v>
      </c>
      <c r="B25" t="s">
        <v>20</v>
      </c>
      <c r="C25">
        <f>C24+1</f>
        <v>24</v>
      </c>
      <c r="D25" s="2" t="str" cm="1">
        <f t="array" ref="D25">A25&amp;B25&amp;_xlfn.IFS(C25 &lt; 10,"B00"&amp;C25,AND(C25 &gt;= 10,C25 &lt; 100),"B0"&amp;C25,C25 &gt;= 100,"B"&amp;C25)</f>
        <v>SMTB1B024</v>
      </c>
      <c r="E25" t="s">
        <v>41</v>
      </c>
      <c r="F25" s="2" t="str">
        <f>SUBSTITUTE(E25,"DLP"," ")</f>
        <v>Maharat Al-Quran</v>
      </c>
      <c r="G25" t="s">
        <v>38</v>
      </c>
      <c r="H25" s="2" t="str" cm="1">
        <f t="array" ref="H25">_xlfn.IFS(G25 = "KSSR","Kokurikulum Standard Sekolah Rendah",G25 = "KSSM","Kokurikulum Standard Sekolah Menengah",G25 = "KBDKBT","Kokurikulum Bersepadu Dini dan Kokurikulum Bersepadu Tahfiz",G25 = "SSeM","Sekolah Seni Malaysia",G25 = "KC","Kesusasteraan Cina",G25 = "KSSMPK","Pendidikan Khas",G25 = "MPEI","Mata Pelajaran Elektif Ikhtisas",G25 = "MPET","Mata Pelajaran Elektif Teknikal",G25 = "MPV","Mata Pelajaran Vokasional",G25 = "MPAK","Mata Pelajaran Aliran Kebangsaan")</f>
        <v>Kokurikulum Bersepadu Dini dan Kokurikulum Bersepadu Tahfiz</v>
      </c>
      <c r="I25" t="str" cm="1">
        <f t="array" ref="I25">_xlfn.IFS(A25="SR","Sekolah Rendah",A25="SM","Sekolah Menengah")</f>
        <v>Sekolah Menengah</v>
      </c>
      <c r="J25" s="1" t="str" cm="1">
        <f t="array" ref="J25">_xlfn.SWITCH(B25,"T1","Tahun 1","T2","Tahun 2","T3","Tahun 3","T4","Tahun 4","T5","Tahun 5","T6","Tahun 6","TB1","Tingkatan 1","TB2","Tingkatan 2","TB3","Tingkatan 3","TA4","Tingkatan 4","TA5","Tingkatan 5")</f>
        <v>Tingkatan 1</v>
      </c>
      <c r="K25" t="b">
        <f>IF(COUNTIF(E25,"*DLP*"),TRUE)</f>
        <v>0</v>
      </c>
      <c r="L25" s="2" t="s">
        <v>130</v>
      </c>
    </row>
    <row r="26" spans="1:12" x14ac:dyDescent="0.3">
      <c r="A26" t="s">
        <v>8</v>
      </c>
      <c r="B26" t="s">
        <v>20</v>
      </c>
      <c r="C26">
        <f>C25+1</f>
        <v>25</v>
      </c>
      <c r="D26" s="2" t="str" cm="1">
        <f t="array" ref="D26">A26&amp;B26&amp;_xlfn.IFS(C26 &lt; 10,"B00"&amp;C26,AND(C26 &gt;= 10,C26 &lt; 100),"B0"&amp;C26,C26 &gt;= 100,"B"&amp;C26)</f>
        <v>SMTB1B025</v>
      </c>
      <c r="E26" t="s">
        <v>39</v>
      </c>
      <c r="F26" s="2" t="str">
        <f>SUBSTITUTE(E26,"DLP"," ")</f>
        <v>Usul Al-Din</v>
      </c>
      <c r="G26" t="s">
        <v>38</v>
      </c>
      <c r="H26" s="2" t="str" cm="1">
        <f t="array" ref="H26">_xlfn.IFS(G26 = "KSSR","Kokurikulum Standard Sekolah Rendah",G26 = "KSSM","Kokurikulum Standard Sekolah Menengah",G26 = "KBDKBT","Kokurikulum Bersepadu Dini dan Kokurikulum Bersepadu Tahfiz",G26 = "SSeM","Sekolah Seni Malaysia",G26 = "KC","Kesusasteraan Cina",G26 = "KSSMPK","Pendidikan Khas",G26 = "MPEI","Mata Pelajaran Elektif Ikhtisas",G26 = "MPET","Mata Pelajaran Elektif Teknikal",G26 = "MPV","Mata Pelajaran Vokasional",G26 = "MPAK","Mata Pelajaran Aliran Kebangsaan")</f>
        <v>Kokurikulum Bersepadu Dini dan Kokurikulum Bersepadu Tahfiz</v>
      </c>
      <c r="I26" t="str" cm="1">
        <f t="array" ref="I26">_xlfn.IFS(A26="SR","Sekolah Rendah",A26="SM","Sekolah Menengah")</f>
        <v>Sekolah Menengah</v>
      </c>
      <c r="J26" s="1" t="str" cm="1">
        <f t="array" ref="J26">_xlfn.SWITCH(B26,"T1","Tahun 1","T2","Tahun 2","T3","Tahun 3","T4","Tahun 4","T5","Tahun 5","T6","Tahun 6","TB1","Tingkatan 1","TB2","Tingkatan 2","TB3","Tingkatan 3","TA4","Tingkatan 4","TA5","Tingkatan 5")</f>
        <v>Tingkatan 1</v>
      </c>
      <c r="K26" t="b">
        <f>IF(COUNTIF(E26,"*DLP*"),TRUE)</f>
        <v>0</v>
      </c>
      <c r="L26" s="2" t="s">
        <v>130</v>
      </c>
    </row>
    <row r="27" spans="1:12" x14ac:dyDescent="0.3">
      <c r="A27" t="s">
        <v>8</v>
      </c>
      <c r="B27" t="s">
        <v>20</v>
      </c>
      <c r="C27">
        <f>C26+1</f>
        <v>26</v>
      </c>
      <c r="D27" s="2" t="str" cm="1">
        <f t="array" ref="D27">A27&amp;B27&amp;_xlfn.IFS(C27 &lt; 10,"B00"&amp;C27,AND(C27 &gt;= 10,C27 &lt; 100),"B0"&amp;C27,C27 &gt;= 100,"B"&amp;C27)</f>
        <v>SMTB1B026</v>
      </c>
      <c r="E27" t="s">
        <v>42</v>
      </c>
      <c r="F27" s="2" t="str">
        <f>SUBSTITUTE(E27,"DLP"," ")</f>
        <v>Seni Muzik</v>
      </c>
      <c r="G27" t="s">
        <v>46</v>
      </c>
      <c r="H27" s="2" t="str" cm="1">
        <f t="array" ref="H27">_xlfn.IFS(G27 = "KSSR","Kokurikulum Standard Sekolah Rendah",G27 = "KSSM","Kokurikulum Standard Sekolah Menengah",G27 = "KBDKBT","Kokurikulum Bersepadu Dini dan Kokurikulum Bersepadu Tahfiz",G27 = "SSeM","Sekolah Seni Malaysia",G27 = "KC","Kesusasteraan Cina",G27 = "KSSMPK","Pendidikan Khas",G27 = "MPEI","Mata Pelajaran Elektif Ikhtisas",G27 = "MPET","Mata Pelajaran Elektif Teknikal",G27 = "MPV","Mata Pelajaran Vokasional",G27 = "MPAK","Mata Pelajaran Aliran Kebangsaan")</f>
        <v>Sekolah Seni Malaysia</v>
      </c>
      <c r="I27" t="str" cm="1">
        <f t="array" ref="I27">_xlfn.IFS(A27="SR","Sekolah Rendah",A27="SM","Sekolah Menengah")</f>
        <v>Sekolah Menengah</v>
      </c>
      <c r="J27" s="1" t="str" cm="1">
        <f t="array" ref="J27">_xlfn.SWITCH(B27,"T1","Tahun 1","T2","Tahun 2","T3","Tahun 3","T4","Tahun 4","T5","Tahun 5","T6","Tahun 6","TB1","Tingkatan 1","TB2","Tingkatan 2","TB3","Tingkatan 3","TA4","Tingkatan 4","TA5","Tingkatan 5")</f>
        <v>Tingkatan 1</v>
      </c>
      <c r="K27" t="b">
        <f>IF(COUNTIF(E27,"*DLP*"),TRUE)</f>
        <v>0</v>
      </c>
      <c r="L27" s="2" t="s">
        <v>130</v>
      </c>
    </row>
    <row r="28" spans="1:12" x14ac:dyDescent="0.3">
      <c r="A28" t="s">
        <v>8</v>
      </c>
      <c r="B28" t="s">
        <v>20</v>
      </c>
      <c r="C28">
        <f>C27+1</f>
        <v>27</v>
      </c>
      <c r="D28" s="2" t="str" cm="1">
        <f t="array" ref="D28">A28&amp;B28&amp;_xlfn.IFS(C28 &lt; 10,"B00"&amp;C28,AND(C28 &gt;= 10,C28 &lt; 100),"B0"&amp;C28,C28 &gt;= 100,"B"&amp;C28)</f>
        <v>SMTB1B027</v>
      </c>
      <c r="E28" t="s">
        <v>43</v>
      </c>
      <c r="F28" s="2" t="str">
        <f>SUBSTITUTE(E28,"DLP"," ")</f>
        <v>Seni Tari</v>
      </c>
      <c r="G28" t="s">
        <v>46</v>
      </c>
      <c r="H28" s="2" t="str" cm="1">
        <f t="array" ref="H28">_xlfn.IFS(G28 = "KSSR","Kokurikulum Standard Sekolah Rendah",G28 = "KSSM","Kokurikulum Standard Sekolah Menengah",G28 = "KBDKBT","Kokurikulum Bersepadu Dini dan Kokurikulum Bersepadu Tahfiz",G28 = "SSeM","Sekolah Seni Malaysia",G28 = "KC","Kesusasteraan Cina",G28 = "KSSMPK","Pendidikan Khas",G28 = "MPEI","Mata Pelajaran Elektif Ikhtisas",G28 = "MPET","Mata Pelajaran Elektif Teknikal",G28 = "MPV","Mata Pelajaran Vokasional",G28 = "MPAK","Mata Pelajaran Aliran Kebangsaan")</f>
        <v>Sekolah Seni Malaysia</v>
      </c>
      <c r="I28" t="str" cm="1">
        <f t="array" ref="I28">_xlfn.IFS(A28="SR","Sekolah Rendah",A28="SM","Sekolah Menengah")</f>
        <v>Sekolah Menengah</v>
      </c>
      <c r="J28" s="1" t="str" cm="1">
        <f t="array" ref="J28">_xlfn.SWITCH(B28,"T1","Tahun 1","T2","Tahun 2","T3","Tahun 3","T4","Tahun 4","T5","Tahun 5","T6","Tahun 6","TB1","Tingkatan 1","TB2","Tingkatan 2","TB3","Tingkatan 3","TA4","Tingkatan 4","TA5","Tingkatan 5")</f>
        <v>Tingkatan 1</v>
      </c>
      <c r="K28" t="b">
        <f>IF(COUNTIF(E28,"*DLP*"),TRUE)</f>
        <v>0</v>
      </c>
      <c r="L28" s="2" t="s">
        <v>130</v>
      </c>
    </row>
    <row r="29" spans="1:12" x14ac:dyDescent="0.3">
      <c r="A29" t="s">
        <v>8</v>
      </c>
      <c r="B29" t="s">
        <v>20</v>
      </c>
      <c r="C29">
        <f>C28+1</f>
        <v>28</v>
      </c>
      <c r="D29" s="2" t="str" cm="1">
        <f t="array" ref="D29">A29&amp;B29&amp;_xlfn.IFS(C29 &lt; 10,"B00"&amp;C29,AND(C29 &gt;= 10,C29 &lt; 100),"B0"&amp;C29,C29 &gt;= 100,"B"&amp;C29)</f>
        <v>SMTB1B028</v>
      </c>
      <c r="E29" t="s">
        <v>44</v>
      </c>
      <c r="F29" s="2" t="str">
        <f>SUBSTITUTE(E29,"DLP"," ")</f>
        <v>Seni Teater</v>
      </c>
      <c r="G29" t="s">
        <v>46</v>
      </c>
      <c r="H29" s="2" t="str" cm="1">
        <f t="array" ref="H29">_xlfn.IFS(G29 = "KSSR","Kokurikulum Standard Sekolah Rendah",G29 = "KSSM","Kokurikulum Standard Sekolah Menengah",G29 = "KBDKBT","Kokurikulum Bersepadu Dini dan Kokurikulum Bersepadu Tahfiz",G29 = "SSeM","Sekolah Seni Malaysia",G29 = "KC","Kesusasteraan Cina",G29 = "KSSMPK","Pendidikan Khas",G29 = "MPEI","Mata Pelajaran Elektif Ikhtisas",G29 = "MPET","Mata Pelajaran Elektif Teknikal",G29 = "MPV","Mata Pelajaran Vokasional",G29 = "MPAK","Mata Pelajaran Aliran Kebangsaan")</f>
        <v>Sekolah Seni Malaysia</v>
      </c>
      <c r="I29" t="str" cm="1">
        <f t="array" ref="I29">_xlfn.IFS(A29="SR","Sekolah Rendah",A29="SM","Sekolah Menengah")</f>
        <v>Sekolah Menengah</v>
      </c>
      <c r="J29" s="1" t="str" cm="1">
        <f t="array" ref="J29">_xlfn.SWITCH(B29,"T1","Tahun 1","T2","Tahun 2","T3","Tahun 3","T4","Tahun 4","T5","Tahun 5","T6","Tahun 6","TB1","Tingkatan 1","TB2","Tingkatan 2","TB3","Tingkatan 3","TA4","Tingkatan 4","TA5","Tingkatan 5")</f>
        <v>Tingkatan 1</v>
      </c>
      <c r="K29" t="b">
        <f>IF(COUNTIF(E29,"*DLP*"),TRUE)</f>
        <v>0</v>
      </c>
      <c r="L29" s="2" t="s">
        <v>130</v>
      </c>
    </row>
    <row r="30" spans="1:12" x14ac:dyDescent="0.3">
      <c r="A30" t="s">
        <v>8</v>
      </c>
      <c r="B30" t="s">
        <v>20</v>
      </c>
      <c r="C30">
        <f>C29+1</f>
        <v>29</v>
      </c>
      <c r="D30" s="2" t="str" cm="1">
        <f t="array" ref="D30">A30&amp;B30&amp;_xlfn.IFS(C30 &lt; 10,"B00"&amp;C30,AND(C30 &gt;= 10,C30 &lt; 100),"B0"&amp;C30,C30 &gt;= 100,"B"&amp;C30)</f>
        <v>SMTB1B029</v>
      </c>
      <c r="E30" t="s">
        <v>45</v>
      </c>
      <c r="F30" s="2" t="str">
        <f>SUBSTITUTE(E30,"DLP"," ")</f>
        <v>Seni Visual</v>
      </c>
      <c r="G30" t="s">
        <v>46</v>
      </c>
      <c r="H30" s="2" t="str" cm="1">
        <f t="array" ref="H30">_xlfn.IFS(G30 = "KSSR","Kokurikulum Standard Sekolah Rendah",G30 = "KSSM","Kokurikulum Standard Sekolah Menengah",G30 = "KBDKBT","Kokurikulum Bersepadu Dini dan Kokurikulum Bersepadu Tahfiz",G30 = "SSeM","Sekolah Seni Malaysia",G30 = "KC","Kesusasteraan Cina",G30 = "KSSMPK","Pendidikan Khas",G30 = "MPEI","Mata Pelajaran Elektif Ikhtisas",G30 = "MPET","Mata Pelajaran Elektif Teknikal",G30 = "MPV","Mata Pelajaran Vokasional",G30 = "MPAK","Mata Pelajaran Aliran Kebangsaan")</f>
        <v>Sekolah Seni Malaysia</v>
      </c>
      <c r="I30" t="str" cm="1">
        <f t="array" ref="I30">_xlfn.IFS(A30="SR","Sekolah Rendah",A30="SM","Sekolah Menengah")</f>
        <v>Sekolah Menengah</v>
      </c>
      <c r="J30" s="1" t="str" cm="1">
        <f t="array" ref="J30">_xlfn.SWITCH(B30,"T1","Tahun 1","T2","Tahun 2","T3","Tahun 3","T4","Tahun 4","T5","Tahun 5","T6","Tahun 6","TB1","Tingkatan 1","TB2","Tingkatan 2","TB3","Tingkatan 3","TA4","Tingkatan 4","TA5","Tingkatan 5")</f>
        <v>Tingkatan 1</v>
      </c>
      <c r="K30" t="b">
        <f>IF(COUNTIF(E30,"*DLP*"),TRUE)</f>
        <v>0</v>
      </c>
      <c r="L30" s="2" t="s">
        <v>130</v>
      </c>
    </row>
    <row r="31" spans="1:12" x14ac:dyDescent="0.3">
      <c r="A31" t="s">
        <v>8</v>
      </c>
      <c r="B31" t="s">
        <v>22</v>
      </c>
      <c r="C31">
        <v>1</v>
      </c>
      <c r="D31" s="2" t="str" cm="1">
        <f t="array" ref="D31">A31&amp;B31&amp;_xlfn.IFS(C31 &lt; 10,"B00"&amp;C31,AND(C31 &gt;= 10,C31 &lt; 100),"B0"&amp;C31,C31 &gt;= 100,"B"&amp;C31)</f>
        <v>SMTB2B001</v>
      </c>
      <c r="E31" t="s">
        <v>21</v>
      </c>
      <c r="F31" s="2" t="str">
        <f>SUBSTITUTE(E31,"DLP"," ")</f>
        <v>Asas Sains Komputer</v>
      </c>
      <c r="G31" t="s">
        <v>36</v>
      </c>
      <c r="H31" s="2" t="str" cm="1">
        <f t="array" ref="H31">_xlfn.IFS(G31 = "KSSR","Kokurikulum Standard Sekolah Rendah",G31 = "KSSM","Kokurikulum Standard Sekolah Menengah",G31 = "KBDKBT","Kokurikulum Bersepadu Dini dan Kokurikulum Bersepadu Tahfiz",G31 = "SSeM","Sekolah Seni Malaysia",G31 = "KC","Kesusasteraan Cina",G31 = "KSSMPK","Pendidikan Khas",G31 = "MPEI","Mata Pelajaran Elektif Ikhtisas",G31 = "MPET","Mata Pelajaran Elektif Teknikal",G31 = "MPV","Mata Pelajaran Vokasional",G31 = "MPAK","Mata Pelajaran Aliran Kebangsaan")</f>
        <v>Kokurikulum Standard Sekolah Menengah</v>
      </c>
      <c r="I31" t="str" cm="1">
        <f t="array" ref="I31">_xlfn.IFS(A31="SR","Sekolah Rendah",A31="SM","Sekolah Menengah")</f>
        <v>Sekolah Menengah</v>
      </c>
      <c r="J31" s="1" t="str" cm="1">
        <f t="array" ref="J31">_xlfn.SWITCH(B31,"T1","Tahun 1","T2","Tahun 2","T3","Tahun 3","T4","Tahun 4","T5","Tahun 5","T6","Tahun 6","TB1","Tingkatan 1","TB2","Tingkatan 2","TB3","Tingkatan 3","TA4","Tingkatan 4","TA5","Tingkatan 5")</f>
        <v>Tingkatan 2</v>
      </c>
      <c r="K31" t="b">
        <f>IF(COUNTIF(E31,"*DLP*"),TRUE)</f>
        <v>0</v>
      </c>
      <c r="L31" s="2" t="s">
        <v>130</v>
      </c>
    </row>
    <row r="32" spans="1:12" x14ac:dyDescent="0.3">
      <c r="A32" t="s">
        <v>8</v>
      </c>
      <c r="B32" t="s">
        <v>22</v>
      </c>
      <c r="C32">
        <f>C31+1</f>
        <v>2</v>
      </c>
      <c r="D32" s="2" t="str" cm="1">
        <f t="array" ref="D32">A32&amp;B32&amp;_xlfn.IFS(C32 &lt; 10,"B00"&amp;C32,AND(C32 &gt;= 10,C32 &lt; 100),"B0"&amp;C32,C32 &gt;= 100,"B"&amp;C32)</f>
        <v>SMTB2B002</v>
      </c>
      <c r="E32" t="s">
        <v>28</v>
      </c>
      <c r="F32" s="2" t="str">
        <f>SUBSTITUTE(E32,"DLP"," ")</f>
        <v>Bahasa Arab</v>
      </c>
      <c r="G32" t="s">
        <v>36</v>
      </c>
      <c r="H32" s="2" t="str" cm="1">
        <f t="array" ref="H32">_xlfn.IFS(G32 = "KSSR","Kokurikulum Standard Sekolah Rendah",G32 = "KSSM","Kokurikulum Standard Sekolah Menengah",G32 = "KBDKBT","Kokurikulum Bersepadu Dini dan Kokurikulum Bersepadu Tahfiz",G32 = "SSeM","Sekolah Seni Malaysia",G32 = "KC","Kesusasteraan Cina",G32 = "KSSMPK","Pendidikan Khas",G32 = "MPEI","Mata Pelajaran Elektif Ikhtisas",G32 = "MPET","Mata Pelajaran Elektif Teknikal",G32 = "MPV","Mata Pelajaran Vokasional",G32 = "MPAK","Mata Pelajaran Aliran Kebangsaan")</f>
        <v>Kokurikulum Standard Sekolah Menengah</v>
      </c>
      <c r="I32" t="str" cm="1">
        <f t="array" ref="I32">_xlfn.IFS(A32="SR","Sekolah Rendah",A32="SM","Sekolah Menengah")</f>
        <v>Sekolah Menengah</v>
      </c>
      <c r="J32" s="1" t="str" cm="1">
        <f t="array" ref="J32">_xlfn.SWITCH(B32,"T1","Tahun 1","T2","Tahun 2","T3","Tahun 3","T4","Tahun 4","T5","Tahun 5","T6","Tahun 6","TB1","Tingkatan 1","TB2","Tingkatan 2","TB3","Tingkatan 3","TA4","Tingkatan 4","TA5","Tingkatan 5")</f>
        <v>Tingkatan 2</v>
      </c>
      <c r="K32" t="b">
        <f>IF(COUNTIF(E32,"*DLP*"),TRUE)</f>
        <v>0</v>
      </c>
      <c r="L32" s="2" t="s">
        <v>130</v>
      </c>
    </row>
    <row r="33" spans="1:12" x14ac:dyDescent="0.3">
      <c r="A33" t="s">
        <v>8</v>
      </c>
      <c r="B33" t="s">
        <v>22</v>
      </c>
      <c r="C33">
        <f>C32+1</f>
        <v>3</v>
      </c>
      <c r="D33" s="2" t="str" cm="1">
        <f t="array" ref="D33">A33&amp;B33&amp;_xlfn.IFS(C33 &lt; 10,"B00"&amp;C33,AND(C33 &gt;= 10,C33 &lt; 100),"B0"&amp;C33,C33 &gt;= 100,"B"&amp;C33)</f>
        <v>SMTB2B003</v>
      </c>
      <c r="E33" t="s">
        <v>30</v>
      </c>
      <c r="F33" s="2" t="str">
        <f>SUBSTITUTE(E33,"DLP"," ")</f>
        <v>Bahasa Cina</v>
      </c>
      <c r="G33" t="s">
        <v>36</v>
      </c>
      <c r="H33" s="2" t="str" cm="1">
        <f t="array" ref="H33">_xlfn.IFS(G33 = "KSSR","Kokurikulum Standard Sekolah Rendah",G33 = "KSSM","Kokurikulum Standard Sekolah Menengah",G33 = "KBDKBT","Kokurikulum Bersepadu Dini dan Kokurikulum Bersepadu Tahfiz",G33 = "SSeM","Sekolah Seni Malaysia",G33 = "KC","Kesusasteraan Cina",G33 = "KSSMPK","Pendidikan Khas",G33 = "MPEI","Mata Pelajaran Elektif Ikhtisas",G33 = "MPET","Mata Pelajaran Elektif Teknikal",G33 = "MPV","Mata Pelajaran Vokasional",G33 = "MPAK","Mata Pelajaran Aliran Kebangsaan")</f>
        <v>Kokurikulum Standard Sekolah Menengah</v>
      </c>
      <c r="I33" t="str" cm="1">
        <f t="array" ref="I33">_xlfn.IFS(A33="SR","Sekolah Rendah",A33="SM","Sekolah Menengah")</f>
        <v>Sekolah Menengah</v>
      </c>
      <c r="J33" s="1" t="str" cm="1">
        <f t="array" ref="J33">_xlfn.SWITCH(B33,"T1","Tahun 1","T2","Tahun 2","T3","Tahun 3","T4","Tahun 4","T5","Tahun 5","T6","Tahun 6","TB1","Tingkatan 1","TB2","Tingkatan 2","TB3","Tingkatan 3","TA4","Tingkatan 4","TA5","Tingkatan 5")</f>
        <v>Tingkatan 2</v>
      </c>
      <c r="K33" t="b">
        <f>IF(COUNTIF(E33,"*DLP*"),TRUE)</f>
        <v>0</v>
      </c>
      <c r="L33" s="2" t="s">
        <v>130</v>
      </c>
    </row>
    <row r="34" spans="1:12" x14ac:dyDescent="0.3">
      <c r="A34" t="s">
        <v>8</v>
      </c>
      <c r="B34" t="s">
        <v>22</v>
      </c>
      <c r="C34">
        <f>C33+1</f>
        <v>4</v>
      </c>
      <c r="D34" s="2" t="str" cm="1">
        <f t="array" ref="D34">A34&amp;B34&amp;_xlfn.IFS(C34 &lt; 10,"B00"&amp;C34,AND(C34 &gt;= 10,C34 &lt; 100),"B0"&amp;C34,C34 &gt;= 100,"B"&amp;C34)</f>
        <v>SMTB2B004</v>
      </c>
      <c r="E34" t="s">
        <v>32</v>
      </c>
      <c r="F34" s="2" t="str">
        <f>SUBSTITUTE(E34,"DLP"," ")</f>
        <v>Bahasa Jepun (Menengah Rendah)</v>
      </c>
      <c r="G34" t="s">
        <v>36</v>
      </c>
      <c r="H34" s="2" t="str" cm="1">
        <f t="array" ref="H34">_xlfn.IFS(G34 = "KSSR","Kokurikulum Standard Sekolah Rendah",G34 = "KSSM","Kokurikulum Standard Sekolah Menengah",G34 = "KBDKBT","Kokurikulum Bersepadu Dini dan Kokurikulum Bersepadu Tahfiz",G34 = "SSeM","Sekolah Seni Malaysia",G34 = "KC","Kesusasteraan Cina",G34 = "KSSMPK","Pendidikan Khas",G34 = "MPEI","Mata Pelajaran Elektif Ikhtisas",G34 = "MPET","Mata Pelajaran Elektif Teknikal",G34 = "MPV","Mata Pelajaran Vokasional",G34 = "MPAK","Mata Pelajaran Aliran Kebangsaan")</f>
        <v>Kokurikulum Standard Sekolah Menengah</v>
      </c>
      <c r="I34" t="str" cm="1">
        <f t="array" ref="I34">_xlfn.IFS(A34="SR","Sekolah Rendah",A34="SM","Sekolah Menengah")</f>
        <v>Sekolah Menengah</v>
      </c>
      <c r="J34" s="1" t="str" cm="1">
        <f t="array" ref="J34">_xlfn.SWITCH(B34,"T1","Tahun 1","T2","Tahun 2","T3","Tahun 3","T4","Tahun 4","T5","Tahun 5","T6","Tahun 6","TB1","Tingkatan 1","TB2","Tingkatan 2","TB3","Tingkatan 3","TA4","Tingkatan 4","TA5","Tingkatan 5")</f>
        <v>Tingkatan 2</v>
      </c>
      <c r="K34" t="b">
        <f>IF(COUNTIF(E34,"*DLP*"),TRUE)</f>
        <v>0</v>
      </c>
      <c r="L34" s="2" t="s">
        <v>130</v>
      </c>
    </row>
    <row r="35" spans="1:12" x14ac:dyDescent="0.3">
      <c r="A35" t="s">
        <v>8</v>
      </c>
      <c r="B35" t="s">
        <v>22</v>
      </c>
      <c r="C35">
        <f>C34+1</f>
        <v>5</v>
      </c>
      <c r="D35" s="2" t="str" cm="1">
        <f t="array" ref="D35">A35&amp;B35&amp;_xlfn.IFS(C35 &lt; 10,"B00"&amp;C35,AND(C35 &gt;= 10,C35 &lt; 100),"B0"&amp;C35,C35 &gt;= 100,"B"&amp;C35)</f>
        <v>SMTB2B005</v>
      </c>
      <c r="E35" t="s">
        <v>48</v>
      </c>
      <c r="F35" s="2" t="str">
        <f>SUBSTITUTE(E35,"DLP"," ")</f>
        <v>Bahasa Kadazandusun</v>
      </c>
      <c r="G35" t="s">
        <v>36</v>
      </c>
      <c r="H35" s="2" t="str" cm="1">
        <f t="array" ref="H35">_xlfn.IFS(G35 = "KSSR","Kokurikulum Standard Sekolah Rendah",G35 = "KSSM","Kokurikulum Standard Sekolah Menengah",G35 = "KBDKBT","Kokurikulum Bersepadu Dini dan Kokurikulum Bersepadu Tahfiz",G35 = "SSeM","Sekolah Seni Malaysia",G35 = "KC","Kesusasteraan Cina",G35 = "KSSMPK","Pendidikan Khas",G35 = "MPEI","Mata Pelajaran Elektif Ikhtisas",G35 = "MPET","Mata Pelajaran Elektif Teknikal",G35 = "MPV","Mata Pelajaran Vokasional",G35 = "MPAK","Mata Pelajaran Aliran Kebangsaan")</f>
        <v>Kokurikulum Standard Sekolah Menengah</v>
      </c>
      <c r="I35" t="str" cm="1">
        <f t="array" ref="I35">_xlfn.IFS(A35="SR","Sekolah Rendah",A35="SM","Sekolah Menengah")</f>
        <v>Sekolah Menengah</v>
      </c>
      <c r="J35" s="1" t="str" cm="1">
        <f t="array" ref="J35">_xlfn.SWITCH(B35,"T1","Tahun 1","T2","Tahun 2","T3","Tahun 3","T4","Tahun 4","T5","Tahun 5","T6","Tahun 6","TB1","Tingkatan 1","TB2","Tingkatan 2","TB3","Tingkatan 3","TA4","Tingkatan 4","TA5","Tingkatan 5")</f>
        <v>Tingkatan 2</v>
      </c>
      <c r="K35" t="b">
        <f>IF(COUNTIF(E35,"*DLP*"),TRUE)</f>
        <v>0</v>
      </c>
      <c r="L35" s="2" t="s">
        <v>130</v>
      </c>
    </row>
    <row r="36" spans="1:12" x14ac:dyDescent="0.3">
      <c r="A36" t="s">
        <v>8</v>
      </c>
      <c r="B36" t="s">
        <v>22</v>
      </c>
      <c r="C36">
        <v>1</v>
      </c>
      <c r="D36" s="2" t="str" cm="1">
        <f t="array" ref="D36">A36&amp;B36&amp;_xlfn.IFS(C36 &lt; 10,"B00"&amp;C36,AND(C36 &gt;= 10,C36 &lt; 100),"B0"&amp;C36,C36 &gt;= 100,"B"&amp;C36)</f>
        <v>SMTB2B001</v>
      </c>
      <c r="E36" t="s">
        <v>7</v>
      </c>
      <c r="F36" s="2" t="str">
        <f>SUBSTITUTE(E36,"DLP"," ")</f>
        <v>Bahasa Melayu</v>
      </c>
      <c r="G36" t="s">
        <v>36</v>
      </c>
      <c r="H36" s="2" t="str" cm="1">
        <f t="array" ref="H36">_xlfn.IFS(G36 = "KSSR","Kokurikulum Standard Sekolah Rendah",G36 = "KSSM","Kokurikulum Standard Sekolah Menengah",G36 = "KBDKBT","Kokurikulum Bersepadu Dini dan Kokurikulum Bersepadu Tahfiz",G36 = "SSeM","Sekolah Seni Malaysia",G36 = "KC","Kesusasteraan Cina",G36 = "KSSMPK","Pendidikan Khas",G36 = "MPEI","Mata Pelajaran Elektif Ikhtisas",G36 = "MPET","Mata Pelajaran Elektif Teknikal",G36 = "MPV","Mata Pelajaran Vokasional",G36 = "MPAK","Mata Pelajaran Aliran Kebangsaan")</f>
        <v>Kokurikulum Standard Sekolah Menengah</v>
      </c>
      <c r="I36" t="str" cm="1">
        <f t="array" ref="I36">_xlfn.IFS(A36="SR","Sekolah Rendah",A36="SM","Sekolah Menengah")</f>
        <v>Sekolah Menengah</v>
      </c>
      <c r="J36" s="1" t="str" cm="1">
        <f t="array" ref="J36">_xlfn.SWITCH(B36,"T1","Tahun 1","T2","Tahun 2","T3","Tahun 3","T4","Tahun 4","T5","Tahun 5","T6","Tahun 6","TB1","Tingkatan 1","TB2","Tingkatan 2","TB3","Tingkatan 3","TA4","Tingkatan 4","TA5","Tingkatan 5")</f>
        <v>Tingkatan 2</v>
      </c>
      <c r="K36" t="b">
        <f>IF(COUNTIF(E36,"*DLP*"),TRUE)</f>
        <v>0</v>
      </c>
      <c r="L36" s="2" t="s">
        <v>130</v>
      </c>
    </row>
    <row r="37" spans="1:12" x14ac:dyDescent="0.3">
      <c r="A37" t="s">
        <v>8</v>
      </c>
      <c r="B37" t="s">
        <v>22</v>
      </c>
      <c r="C37">
        <f>C36+1</f>
        <v>2</v>
      </c>
      <c r="D37" s="2" t="str" cm="1">
        <f t="array" ref="D37">A37&amp;B37&amp;_xlfn.IFS(C37 &lt; 10,"B00"&amp;C37,AND(C37 &gt;= 10,C37 &lt; 100),"B0"&amp;C37,C37 &gt;= 100,"B"&amp;C37)</f>
        <v>SMTB2B002</v>
      </c>
      <c r="E37" t="s">
        <v>33</v>
      </c>
      <c r="F37" s="2" t="str">
        <f>SUBSTITUTE(E37,"DLP"," ")</f>
        <v>Bahasa Tamil</v>
      </c>
      <c r="G37" t="s">
        <v>36</v>
      </c>
      <c r="H37" s="2" t="str" cm="1">
        <f t="array" ref="H37">_xlfn.IFS(G37 = "KSSR","Kokurikulum Standard Sekolah Rendah",G37 = "KSSM","Kokurikulum Standard Sekolah Menengah",G37 = "KBDKBT","Kokurikulum Bersepadu Dini dan Kokurikulum Bersepadu Tahfiz",G37 = "SSeM","Sekolah Seni Malaysia",G37 = "KC","Kesusasteraan Cina",G37 = "KSSMPK","Pendidikan Khas",G37 = "MPEI","Mata Pelajaran Elektif Ikhtisas",G37 = "MPET","Mata Pelajaran Elektif Teknikal",G37 = "MPV","Mata Pelajaran Vokasional",G37 = "MPAK","Mata Pelajaran Aliran Kebangsaan")</f>
        <v>Kokurikulum Standard Sekolah Menengah</v>
      </c>
      <c r="I37" t="str" cm="1">
        <f t="array" ref="I37">_xlfn.IFS(A37="SR","Sekolah Rendah",A37="SM","Sekolah Menengah")</f>
        <v>Sekolah Menengah</v>
      </c>
      <c r="J37" s="1" t="str" cm="1">
        <f t="array" ref="J37">_xlfn.SWITCH(B37,"T1","Tahun 1","T2","Tahun 2","T3","Tahun 3","T4","Tahun 4","T5","Tahun 5","T6","Tahun 6","TB1","Tingkatan 1","TB2","Tingkatan 2","TB3","Tingkatan 3","TA4","Tingkatan 4","TA5","Tingkatan 5")</f>
        <v>Tingkatan 2</v>
      </c>
      <c r="K37" t="b">
        <f>IF(COUNTIF(E37,"*DLP*"),TRUE)</f>
        <v>0</v>
      </c>
      <c r="L37" s="2" t="s">
        <v>130</v>
      </c>
    </row>
    <row r="38" spans="1:12" x14ac:dyDescent="0.3">
      <c r="A38" t="s">
        <v>8</v>
      </c>
      <c r="B38" t="s">
        <v>22</v>
      </c>
      <c r="C38">
        <f>C37+1</f>
        <v>3</v>
      </c>
      <c r="D38" s="2" t="str" cm="1">
        <f t="array" ref="D38">A38&amp;B38&amp;_xlfn.IFS(C38 &lt; 10,"B00"&amp;C38,AND(C38 &gt;= 10,C38 &lt; 100),"B0"&amp;C38,C38 &gt;= 100,"B"&amp;C38)</f>
        <v>SMTB2B003</v>
      </c>
      <c r="E38" t="s">
        <v>17</v>
      </c>
      <c r="F38" s="2" t="str">
        <f>SUBSTITUTE(E38,"DLP"," ")</f>
        <v>Geografi</v>
      </c>
      <c r="G38" t="s">
        <v>36</v>
      </c>
      <c r="H38" s="2" t="str" cm="1">
        <f t="array" ref="H38">_xlfn.IFS(G38 = "KSSR","Kokurikulum Standard Sekolah Rendah",G38 = "KSSM","Kokurikulum Standard Sekolah Menengah",G38 = "KBDKBT","Kokurikulum Bersepadu Dini dan Kokurikulum Bersepadu Tahfiz",G38 = "SSeM","Sekolah Seni Malaysia",G38 = "KC","Kesusasteraan Cina",G38 = "KSSMPK","Pendidikan Khas",G38 = "MPEI","Mata Pelajaran Elektif Ikhtisas",G38 = "MPET","Mata Pelajaran Elektif Teknikal",G38 = "MPV","Mata Pelajaran Vokasional",G38 = "MPAK","Mata Pelajaran Aliran Kebangsaan")</f>
        <v>Kokurikulum Standard Sekolah Menengah</v>
      </c>
      <c r="I38" t="str" cm="1">
        <f t="array" ref="I38">_xlfn.IFS(A38="SR","Sekolah Rendah",A38="SM","Sekolah Menengah")</f>
        <v>Sekolah Menengah</v>
      </c>
      <c r="J38" s="1" t="str" cm="1">
        <f t="array" ref="J38">_xlfn.SWITCH(B38,"T1","Tahun 1","T2","Tahun 2","T3","Tahun 3","T4","Tahun 4","T5","Tahun 5","T6","Tahun 6","TB1","Tingkatan 1","TB2","Tingkatan 2","TB3","Tingkatan 3","TA4","Tingkatan 4","TA5","Tingkatan 5")</f>
        <v>Tingkatan 2</v>
      </c>
      <c r="K38" t="b">
        <f>IF(COUNTIF(E38,"*DLP*"),TRUE)</f>
        <v>0</v>
      </c>
      <c r="L38" s="2" t="s">
        <v>130</v>
      </c>
    </row>
    <row r="39" spans="1:12" x14ac:dyDescent="0.3">
      <c r="A39" t="s">
        <v>8</v>
      </c>
      <c r="B39" t="s">
        <v>22</v>
      </c>
      <c r="C39">
        <f>C38+1</f>
        <v>4</v>
      </c>
      <c r="D39" s="2" t="str" cm="1">
        <f t="array" ref="D39">A39&amp;B39&amp;_xlfn.IFS(C39 &lt; 10,"B00"&amp;C39,AND(C39 &gt;= 10,C39 &lt; 100),"B0"&amp;C39,C39 &gt;= 100,"B"&amp;C39)</f>
        <v>SMTB2B004</v>
      </c>
      <c r="E39" t="s">
        <v>11</v>
      </c>
      <c r="F39" s="2" t="str">
        <f>SUBSTITUTE(E39,"DLP"," ")</f>
        <v>Matematik</v>
      </c>
      <c r="G39" t="s">
        <v>36</v>
      </c>
      <c r="H39" s="2" t="str" cm="1">
        <f t="array" ref="H39">_xlfn.IFS(G39 = "KSSR","Kokurikulum Standard Sekolah Rendah",G39 = "KSSM","Kokurikulum Standard Sekolah Menengah",G39 = "KBDKBT","Kokurikulum Bersepadu Dini dan Kokurikulum Bersepadu Tahfiz",G39 = "SSeM","Sekolah Seni Malaysia",G39 = "KC","Kesusasteraan Cina",G39 = "KSSMPK","Pendidikan Khas",G39 = "MPEI","Mata Pelajaran Elektif Ikhtisas",G39 = "MPET","Mata Pelajaran Elektif Teknikal",G39 = "MPV","Mata Pelajaran Vokasional",G39 = "MPAK","Mata Pelajaran Aliran Kebangsaan")</f>
        <v>Kokurikulum Standard Sekolah Menengah</v>
      </c>
      <c r="I39" t="str" cm="1">
        <f t="array" ref="I39">_xlfn.IFS(A39="SR","Sekolah Rendah",A39="SM","Sekolah Menengah")</f>
        <v>Sekolah Menengah</v>
      </c>
      <c r="J39" s="1" t="str" cm="1">
        <f t="array" ref="J39">_xlfn.SWITCH(B39,"T1","Tahun 1","T2","Tahun 2","T3","Tahun 3","T4","Tahun 4","T5","Tahun 5","T6","Tahun 6","TB1","Tingkatan 1","TB2","Tingkatan 2","TB3","Tingkatan 3","TA4","Tingkatan 4","TA5","Tingkatan 5")</f>
        <v>Tingkatan 2</v>
      </c>
      <c r="K39" t="b">
        <f>IF(COUNTIF(E39,"*DLP*"),TRUE)</f>
        <v>0</v>
      </c>
      <c r="L39" s="2" t="s">
        <v>130</v>
      </c>
    </row>
    <row r="40" spans="1:12" x14ac:dyDescent="0.3">
      <c r="A40" t="s">
        <v>8</v>
      </c>
      <c r="B40" t="s">
        <v>22</v>
      </c>
      <c r="C40">
        <f>C39+1</f>
        <v>5</v>
      </c>
      <c r="D40" s="2" t="str" cm="1">
        <f t="array" ref="D40">A40&amp;B40&amp;_xlfn.IFS(C40 &lt; 10,"B00"&amp;C40,AND(C40 &gt;= 10,C40 &lt; 100),"B0"&amp;C40,C40 &gt;= 100,"B"&amp;C40)</f>
        <v>SMTB2B005</v>
      </c>
      <c r="E40" t="s">
        <v>14</v>
      </c>
      <c r="F40" s="2" t="str">
        <f>SUBSTITUTE(E40,"DLP"," ")</f>
        <v xml:space="preserve">Mathematics  </v>
      </c>
      <c r="G40" t="s">
        <v>36</v>
      </c>
      <c r="H40" s="2" t="str" cm="1">
        <f t="array" ref="H40">_xlfn.IFS(G40 = "KSSR","Kokurikulum Standard Sekolah Rendah",G40 = "KSSM","Kokurikulum Standard Sekolah Menengah",G40 = "KBDKBT","Kokurikulum Bersepadu Dini dan Kokurikulum Bersepadu Tahfiz",G40 = "SSeM","Sekolah Seni Malaysia",G40 = "KC","Kesusasteraan Cina",G40 = "KSSMPK","Pendidikan Khas",G40 = "MPEI","Mata Pelajaran Elektif Ikhtisas",G40 = "MPET","Mata Pelajaran Elektif Teknikal",G40 = "MPV","Mata Pelajaran Vokasional",G40 = "MPAK","Mata Pelajaran Aliran Kebangsaan")</f>
        <v>Kokurikulum Standard Sekolah Menengah</v>
      </c>
      <c r="I40" t="str" cm="1">
        <f t="array" ref="I40">_xlfn.IFS(A40="SR","Sekolah Rendah",A40="SM","Sekolah Menengah")</f>
        <v>Sekolah Menengah</v>
      </c>
      <c r="J40" s="1" t="str" cm="1">
        <f t="array" ref="J40">_xlfn.SWITCH(B40,"T1","Tahun 1","T2","Tahun 2","T3","Tahun 3","T4","Tahun 4","T5","Tahun 5","T6","Tahun 6","TB1","Tingkatan 1","TB2","Tingkatan 2","TB3","Tingkatan 3","TA4","Tingkatan 4","TA5","Tingkatan 5")</f>
        <v>Tingkatan 2</v>
      </c>
      <c r="K40" t="b">
        <f>IF(COUNTIF(E40,"*DLP*"),TRUE)</f>
        <v>1</v>
      </c>
      <c r="L40" s="2" t="s">
        <v>130</v>
      </c>
    </row>
    <row r="41" spans="1:12" x14ac:dyDescent="0.3">
      <c r="A41" t="s">
        <v>8</v>
      </c>
      <c r="B41" t="s">
        <v>22</v>
      </c>
      <c r="C41">
        <f>C40+1</f>
        <v>6</v>
      </c>
      <c r="D41" s="2" t="str" cm="1">
        <f t="array" ref="D41">A41&amp;B41&amp;_xlfn.IFS(C41 &lt; 10,"B00"&amp;C41,AND(C41 &gt;= 10,C41 &lt; 100),"B0"&amp;C41,C41 &gt;= 100,"B"&amp;C41)</f>
        <v>SMTB2B006</v>
      </c>
      <c r="E41" t="s">
        <v>25</v>
      </c>
      <c r="F41" s="2" t="str">
        <f>SUBSTITUTE(E41,"DLP"," ")</f>
        <v>Pendidikan Islam</v>
      </c>
      <c r="G41" t="s">
        <v>36</v>
      </c>
      <c r="H41" s="2" t="str" cm="1">
        <f t="array" ref="H41">_xlfn.IFS(G41 = "KSSR","Kokurikulum Standard Sekolah Rendah",G41 = "KSSM","Kokurikulum Standard Sekolah Menengah",G41 = "KBDKBT","Kokurikulum Bersepadu Dini dan Kokurikulum Bersepadu Tahfiz",G41 = "SSeM","Sekolah Seni Malaysia",G41 = "KC","Kesusasteraan Cina",G41 = "KSSMPK","Pendidikan Khas",G41 = "MPEI","Mata Pelajaran Elektif Ikhtisas",G41 = "MPET","Mata Pelajaran Elektif Teknikal",G41 = "MPV","Mata Pelajaran Vokasional",G41 = "MPAK","Mata Pelajaran Aliran Kebangsaan")</f>
        <v>Kokurikulum Standard Sekolah Menengah</v>
      </c>
      <c r="I41" t="str" cm="1">
        <f t="array" ref="I41">_xlfn.IFS(A41="SR","Sekolah Rendah",A41="SM","Sekolah Menengah")</f>
        <v>Sekolah Menengah</v>
      </c>
      <c r="J41" s="1" t="str" cm="1">
        <f t="array" ref="J41">_xlfn.SWITCH(B41,"T1","Tahun 1","T2","Tahun 2","T3","Tahun 3","T4","Tahun 4","T5","Tahun 5","T6","Tahun 6","TB1","Tingkatan 1","TB2","Tingkatan 2","TB3","Tingkatan 3","TA4","Tingkatan 4","TA5","Tingkatan 5")</f>
        <v>Tingkatan 2</v>
      </c>
      <c r="K41" t="b">
        <f>IF(COUNTIF(E41,"*DLP*"),TRUE)</f>
        <v>0</v>
      </c>
      <c r="L41" s="2" t="s">
        <v>130</v>
      </c>
    </row>
    <row r="42" spans="1:12" x14ac:dyDescent="0.3">
      <c r="A42" t="s">
        <v>8</v>
      </c>
      <c r="B42" t="s">
        <v>22</v>
      </c>
      <c r="C42">
        <f>C41+1</f>
        <v>7</v>
      </c>
      <c r="D42" s="2" t="str" cm="1">
        <f t="array" ref="D42">A42&amp;B42&amp;_xlfn.IFS(C42 &lt; 10,"B00"&amp;C42,AND(C42 &gt;= 10,C42 &lt; 100),"B0"&amp;C42,C42 &gt;= 100,"B"&amp;C42)</f>
        <v>SMTB2B007</v>
      </c>
      <c r="E42" t="s">
        <v>26</v>
      </c>
      <c r="F42" s="2" t="str">
        <f>SUBSTITUTE(E42,"DLP"," ")</f>
        <v>Pendidikan Jasmani dan Pendidikan Kesihatan</v>
      </c>
      <c r="G42" t="s">
        <v>36</v>
      </c>
      <c r="H42" s="2" t="str" cm="1">
        <f t="array" ref="H42">_xlfn.IFS(G42 = "KSSR","Kokurikulum Standard Sekolah Rendah",G42 = "KSSM","Kokurikulum Standard Sekolah Menengah",G42 = "KBDKBT","Kokurikulum Bersepadu Dini dan Kokurikulum Bersepadu Tahfiz",G42 = "SSeM","Sekolah Seni Malaysia",G42 = "KC","Kesusasteraan Cina",G42 = "KSSMPK","Pendidikan Khas",G42 = "MPEI","Mata Pelajaran Elektif Ikhtisas",G42 = "MPET","Mata Pelajaran Elektif Teknikal",G42 = "MPV","Mata Pelajaran Vokasional",G42 = "MPAK","Mata Pelajaran Aliran Kebangsaan")</f>
        <v>Kokurikulum Standard Sekolah Menengah</v>
      </c>
      <c r="I42" t="str" cm="1">
        <f t="array" ref="I42">_xlfn.IFS(A42="SR","Sekolah Rendah",A42="SM","Sekolah Menengah")</f>
        <v>Sekolah Menengah</v>
      </c>
      <c r="J42" s="1" t="str" cm="1">
        <f t="array" ref="J42">_xlfn.SWITCH(B42,"T1","Tahun 1","T2","Tahun 2","T3","Tahun 3","T4","Tahun 4","T5","Tahun 5","T6","Tahun 6","TB1","Tingkatan 1","TB2","Tingkatan 2","TB3","Tingkatan 3","TA4","Tingkatan 4","TA5","Tingkatan 5")</f>
        <v>Tingkatan 2</v>
      </c>
      <c r="K42" t="b">
        <f>IF(COUNTIF(E42,"*DLP*"),TRUE)</f>
        <v>0</v>
      </c>
      <c r="L42" s="2" t="s">
        <v>130</v>
      </c>
    </row>
    <row r="43" spans="1:12" x14ac:dyDescent="0.3">
      <c r="A43" t="s">
        <v>8</v>
      </c>
      <c r="B43" t="s">
        <v>22</v>
      </c>
      <c r="C43">
        <f>C42+1</f>
        <v>8</v>
      </c>
      <c r="D43" s="2" t="str" cm="1">
        <f t="array" ref="D43">A43&amp;B43&amp;_xlfn.IFS(C43 &lt; 10,"B00"&amp;C43,AND(C43 &gt;= 10,C43 &lt; 100),"B0"&amp;C43,C43 &gt;= 100,"B"&amp;C43)</f>
        <v>SMTB2B008</v>
      </c>
      <c r="E43" t="s">
        <v>47</v>
      </c>
      <c r="F43" s="2" t="str">
        <f>SUBSTITUTE(E43,"DLP"," ")</f>
        <v>Pendidikan Muzik</v>
      </c>
      <c r="G43" t="s">
        <v>36</v>
      </c>
      <c r="H43" s="2" t="str" cm="1">
        <f t="array" ref="H43">_xlfn.IFS(G43 = "KSSR","Kokurikulum Standard Sekolah Rendah",G43 = "KSSM","Kokurikulum Standard Sekolah Menengah",G43 = "KBDKBT","Kokurikulum Bersepadu Dini dan Kokurikulum Bersepadu Tahfiz",G43 = "SSeM","Sekolah Seni Malaysia",G43 = "KC","Kesusasteraan Cina",G43 = "KSSMPK","Pendidikan Khas",G43 = "MPEI","Mata Pelajaran Elektif Ikhtisas",G43 = "MPET","Mata Pelajaran Elektif Teknikal",G43 = "MPV","Mata Pelajaran Vokasional",G43 = "MPAK","Mata Pelajaran Aliran Kebangsaan")</f>
        <v>Kokurikulum Standard Sekolah Menengah</v>
      </c>
      <c r="I43" t="str" cm="1">
        <f t="array" ref="I43">_xlfn.IFS(A43="SR","Sekolah Rendah",A43="SM","Sekolah Menengah")</f>
        <v>Sekolah Menengah</v>
      </c>
      <c r="J43" s="1" t="str" cm="1">
        <f t="array" ref="J43">_xlfn.SWITCH(B43,"T1","Tahun 1","T2","Tahun 2","T3","Tahun 3","T4","Tahun 4","T5","Tahun 5","T6","Tahun 6","TB1","Tingkatan 1","TB2","Tingkatan 2","TB3","Tingkatan 3","TA4","Tingkatan 4","TA5","Tingkatan 5")</f>
        <v>Tingkatan 2</v>
      </c>
      <c r="K43" t="b">
        <f>IF(COUNTIF(E43,"*DLP*"),TRUE)</f>
        <v>0</v>
      </c>
      <c r="L43" s="2" t="s">
        <v>130</v>
      </c>
    </row>
    <row r="44" spans="1:12" x14ac:dyDescent="0.3">
      <c r="A44" t="s">
        <v>8</v>
      </c>
      <c r="B44" t="s">
        <v>22</v>
      </c>
      <c r="C44">
        <f>C43+1</f>
        <v>9</v>
      </c>
      <c r="D44" s="2" t="str" cm="1">
        <f t="array" ref="D44">A44&amp;B44&amp;_xlfn.IFS(C44 &lt; 10,"B00"&amp;C44,AND(C44 &gt;= 10,C44 &lt; 100),"B0"&amp;C44,C44 &gt;= 100,"B"&amp;C44)</f>
        <v>SMTB2B009</v>
      </c>
      <c r="E44" t="s">
        <v>24</v>
      </c>
      <c r="F44" s="2" t="str">
        <f>SUBSTITUTE(E44,"DLP"," ")</f>
        <v>Pendidikan Seni Visual</v>
      </c>
      <c r="G44" t="s">
        <v>36</v>
      </c>
      <c r="H44" s="2" t="str" cm="1">
        <f t="array" ref="H44">_xlfn.IFS(G44 = "KSSR","Kokurikulum Standard Sekolah Rendah",G44 = "KSSM","Kokurikulum Standard Sekolah Menengah",G44 = "KBDKBT","Kokurikulum Bersepadu Dini dan Kokurikulum Bersepadu Tahfiz",G44 = "SSeM","Sekolah Seni Malaysia",G44 = "KC","Kesusasteraan Cina",G44 = "KSSMPK","Pendidikan Khas",G44 = "MPEI","Mata Pelajaran Elektif Ikhtisas",G44 = "MPET","Mata Pelajaran Elektif Teknikal",G44 = "MPV","Mata Pelajaran Vokasional",G44 = "MPAK","Mata Pelajaran Aliran Kebangsaan")</f>
        <v>Kokurikulum Standard Sekolah Menengah</v>
      </c>
      <c r="I44" t="str" cm="1">
        <f t="array" ref="I44">_xlfn.IFS(A44="SR","Sekolah Rendah",A44="SM","Sekolah Menengah")</f>
        <v>Sekolah Menengah</v>
      </c>
      <c r="J44" s="1" t="str" cm="1">
        <f t="array" ref="J44">_xlfn.SWITCH(B44,"T1","Tahun 1","T2","Tahun 2","T3","Tahun 3","T4","Tahun 4","T5","Tahun 5","T6","Tahun 6","TB1","Tingkatan 1","TB2","Tingkatan 2","TB3","Tingkatan 3","TA4","Tingkatan 4","TA5","Tingkatan 5")</f>
        <v>Tingkatan 2</v>
      </c>
      <c r="K44" t="b">
        <f>IF(COUNTIF(E44,"*DLP*"),TRUE)</f>
        <v>0</v>
      </c>
      <c r="L44" s="2" t="s">
        <v>130</v>
      </c>
    </row>
    <row r="45" spans="1:12" x14ac:dyDescent="0.3">
      <c r="A45" t="s">
        <v>8</v>
      </c>
      <c r="B45" t="s">
        <v>22</v>
      </c>
      <c r="C45">
        <f>C44+1</f>
        <v>10</v>
      </c>
      <c r="D45" s="2" t="str" cm="1">
        <f t="array" ref="D45">A45&amp;B45&amp;_xlfn.IFS(C45 &lt; 10,"B00"&amp;C45,AND(C45 &gt;= 10,C45 &lt; 100),"B0"&amp;C45,C45 &gt;= 100,"B"&amp;C45)</f>
        <v>SMTB2B010</v>
      </c>
      <c r="E45" t="s">
        <v>10</v>
      </c>
      <c r="F45" s="2" t="str">
        <f>SUBSTITUTE(E45,"DLP"," ")</f>
        <v>Pulse 2</v>
      </c>
      <c r="G45" t="s">
        <v>36</v>
      </c>
      <c r="H45" s="2" t="str" cm="1">
        <f t="array" ref="H45">_xlfn.IFS(G45 = "KSSR","Kokurikulum Standard Sekolah Rendah",G45 = "KSSM","Kokurikulum Standard Sekolah Menengah",G45 = "KBDKBT","Kokurikulum Bersepadu Dini dan Kokurikulum Bersepadu Tahfiz",G45 = "SSeM","Sekolah Seni Malaysia",G45 = "KC","Kesusasteraan Cina",G45 = "KSSMPK","Pendidikan Khas",G45 = "MPEI","Mata Pelajaran Elektif Ikhtisas",G45 = "MPET","Mata Pelajaran Elektif Teknikal",G45 = "MPV","Mata Pelajaran Vokasional",G45 = "MPAK","Mata Pelajaran Aliran Kebangsaan")</f>
        <v>Kokurikulum Standard Sekolah Menengah</v>
      </c>
      <c r="I45" t="str" cm="1">
        <f t="array" ref="I45">_xlfn.IFS(A45="SR","Sekolah Rendah",A45="SM","Sekolah Menengah")</f>
        <v>Sekolah Menengah</v>
      </c>
      <c r="J45" s="1" t="str" cm="1">
        <f t="array" ref="J45">_xlfn.SWITCH(B45,"T1","Tahun 1","T2","Tahun 2","T3","Tahun 3","T4","Tahun 4","T5","Tahun 5","T6","Tahun 6","TB1","Tingkatan 1","TB2","Tingkatan 2","TB3","Tingkatan 3","TA4","Tingkatan 4","TA5","Tingkatan 5")</f>
        <v>Tingkatan 2</v>
      </c>
      <c r="K45" t="b">
        <f>IF(COUNTIF(E45,"*DLP*"),TRUE)</f>
        <v>0</v>
      </c>
      <c r="L45" s="2" t="s">
        <v>130</v>
      </c>
    </row>
    <row r="46" spans="1:12" x14ac:dyDescent="0.3">
      <c r="A46" t="s">
        <v>8</v>
      </c>
      <c r="B46" t="s">
        <v>22</v>
      </c>
      <c r="C46">
        <f>C45+1</f>
        <v>11</v>
      </c>
      <c r="D46" s="2" t="str" cm="1">
        <f t="array" ref="D46">A46&amp;B46&amp;_xlfn.IFS(C46 &lt; 10,"B00"&amp;C46,AND(C46 &gt;= 10,C46 &lt; 100),"B0"&amp;C46,C46 &gt;= 100,"B"&amp;C46)</f>
        <v>SMTB2B011</v>
      </c>
      <c r="E46" t="s">
        <v>19</v>
      </c>
      <c r="F46" s="2" t="str">
        <f>SUBSTITUTE(E46,"DLP"," ")</f>
        <v>Reka Bentuk dan Teknologi</v>
      </c>
      <c r="G46" t="s">
        <v>36</v>
      </c>
      <c r="H46" s="2" t="str" cm="1">
        <f t="array" ref="H46">_xlfn.IFS(G46 = "KSSR","Kokurikulum Standard Sekolah Rendah",G46 = "KSSM","Kokurikulum Standard Sekolah Menengah",G46 = "KBDKBT","Kokurikulum Bersepadu Dini dan Kokurikulum Bersepadu Tahfiz",G46 = "SSeM","Sekolah Seni Malaysia",G46 = "KC","Kesusasteraan Cina",G46 = "KSSMPK","Pendidikan Khas",G46 = "MPEI","Mata Pelajaran Elektif Ikhtisas",G46 = "MPET","Mata Pelajaran Elektif Teknikal",G46 = "MPV","Mata Pelajaran Vokasional",G46 = "MPAK","Mata Pelajaran Aliran Kebangsaan")</f>
        <v>Kokurikulum Standard Sekolah Menengah</v>
      </c>
      <c r="I46" t="str" cm="1">
        <f t="array" ref="I46">_xlfn.IFS(A46="SR","Sekolah Rendah",A46="SM","Sekolah Menengah")</f>
        <v>Sekolah Menengah</v>
      </c>
      <c r="J46" s="1" t="str" cm="1">
        <f t="array" ref="J46">_xlfn.SWITCH(B46,"T1","Tahun 1","T2","Tahun 2","T3","Tahun 3","T4","Tahun 4","T5","Tahun 5","T6","Tahun 6","TB1","Tingkatan 1","TB2","Tingkatan 2","TB3","Tingkatan 3","TA4","Tingkatan 4","TA5","Tingkatan 5")</f>
        <v>Tingkatan 2</v>
      </c>
      <c r="K46" t="b">
        <f>IF(COUNTIF(E46,"*DLP*"),TRUE)</f>
        <v>0</v>
      </c>
      <c r="L46" s="2" t="s">
        <v>130</v>
      </c>
    </row>
    <row r="47" spans="1:12" x14ac:dyDescent="0.3">
      <c r="A47" t="s">
        <v>8</v>
      </c>
      <c r="B47" t="s">
        <v>22</v>
      </c>
      <c r="C47">
        <f>C46+1</f>
        <v>12</v>
      </c>
      <c r="D47" s="2" t="str" cm="1">
        <f t="array" ref="D47">A47&amp;B47&amp;_xlfn.IFS(C47 &lt; 10,"B00"&amp;C47,AND(C47 &gt;= 10,C47 &lt; 100),"B0"&amp;C47,C47 &gt;= 100,"B"&amp;C47)</f>
        <v>SMTB2B012</v>
      </c>
      <c r="E47" t="s">
        <v>13</v>
      </c>
      <c r="F47" s="2" t="str">
        <f>SUBSTITUTE(E47,"DLP"," ")</f>
        <v>Sains</v>
      </c>
      <c r="G47" t="s">
        <v>36</v>
      </c>
      <c r="H47" s="2" t="str" cm="1">
        <f t="array" ref="H47">_xlfn.IFS(G47 = "KSSR","Kokurikulum Standard Sekolah Rendah",G47 = "KSSM","Kokurikulum Standard Sekolah Menengah",G47 = "KBDKBT","Kokurikulum Bersepadu Dini dan Kokurikulum Bersepadu Tahfiz",G47 = "SSeM","Sekolah Seni Malaysia",G47 = "KC","Kesusasteraan Cina",G47 = "KSSMPK","Pendidikan Khas",G47 = "MPEI","Mata Pelajaran Elektif Ikhtisas",G47 = "MPET","Mata Pelajaran Elektif Teknikal",G47 = "MPV","Mata Pelajaran Vokasional",G47 = "MPAK","Mata Pelajaran Aliran Kebangsaan")</f>
        <v>Kokurikulum Standard Sekolah Menengah</v>
      </c>
      <c r="I47" t="str" cm="1">
        <f t="array" ref="I47">_xlfn.IFS(A47="SR","Sekolah Rendah",A47="SM","Sekolah Menengah")</f>
        <v>Sekolah Menengah</v>
      </c>
      <c r="J47" s="1" t="str" cm="1">
        <f t="array" ref="J47">_xlfn.SWITCH(B47,"T1","Tahun 1","T2","Tahun 2","T3","Tahun 3","T4","Tahun 4","T5","Tahun 5","T6","Tahun 6","TB1","Tingkatan 1","TB2","Tingkatan 2","TB3","Tingkatan 3","TA4","Tingkatan 4","TA5","Tingkatan 5")</f>
        <v>Tingkatan 2</v>
      </c>
      <c r="K47" t="b">
        <f>IF(COUNTIF(E47,"*DLP*"),TRUE)</f>
        <v>0</v>
      </c>
      <c r="L47" s="2" t="s">
        <v>130</v>
      </c>
    </row>
    <row r="48" spans="1:12" x14ac:dyDescent="0.3">
      <c r="A48" t="s">
        <v>8</v>
      </c>
      <c r="B48" t="s">
        <v>22</v>
      </c>
      <c r="C48">
        <f>C47+1</f>
        <v>13</v>
      </c>
      <c r="D48" s="2" t="str" cm="1">
        <f t="array" ref="D48">A48&amp;B48&amp;_xlfn.IFS(C48 &lt; 10,"B00"&amp;C48,AND(C48 &gt;= 10,C48 &lt; 100),"B0"&amp;C48,C48 &gt;= 100,"B"&amp;C48)</f>
        <v>SMTB2B013</v>
      </c>
      <c r="E48" t="s">
        <v>16</v>
      </c>
      <c r="F48" s="2" t="str">
        <f>SUBSTITUTE(E48,"DLP"," ")</f>
        <v xml:space="preserve">Science  </v>
      </c>
      <c r="G48" t="s">
        <v>36</v>
      </c>
      <c r="H48" s="2" t="str" cm="1">
        <f t="array" ref="H48">_xlfn.IFS(G48 = "KSSR","Kokurikulum Standard Sekolah Rendah",G48 = "KSSM","Kokurikulum Standard Sekolah Menengah",G48 = "KBDKBT","Kokurikulum Bersepadu Dini dan Kokurikulum Bersepadu Tahfiz",G48 = "SSeM","Sekolah Seni Malaysia",G48 = "KC","Kesusasteraan Cina",G48 = "KSSMPK","Pendidikan Khas",G48 = "MPEI","Mata Pelajaran Elektif Ikhtisas",G48 = "MPET","Mata Pelajaran Elektif Teknikal",G48 = "MPV","Mata Pelajaran Vokasional",G48 = "MPAK","Mata Pelajaran Aliran Kebangsaan")</f>
        <v>Kokurikulum Standard Sekolah Menengah</v>
      </c>
      <c r="I48" t="str" cm="1">
        <f t="array" ref="I48">_xlfn.IFS(A48="SR","Sekolah Rendah",A48="SM","Sekolah Menengah")</f>
        <v>Sekolah Menengah</v>
      </c>
      <c r="J48" s="1" t="str" cm="1">
        <f t="array" ref="J48">_xlfn.SWITCH(B48,"T1","Tahun 1","T2","Tahun 2","T3","Tahun 3","T4","Tahun 4","T5","Tahun 5","T6","Tahun 6","TB1","Tingkatan 1","TB2","Tingkatan 2","TB3","Tingkatan 3","TA4","Tingkatan 4","TA5","Tingkatan 5")</f>
        <v>Tingkatan 2</v>
      </c>
      <c r="K48" t="b">
        <f>IF(COUNTIF(E48,"*DLP*"),TRUE)</f>
        <v>1</v>
      </c>
      <c r="L48" s="2" t="s">
        <v>130</v>
      </c>
    </row>
    <row r="49" spans="1:12" x14ac:dyDescent="0.3">
      <c r="A49" t="s">
        <v>8</v>
      </c>
      <c r="B49" t="s">
        <v>22</v>
      </c>
      <c r="C49">
        <f>C48+1</f>
        <v>14</v>
      </c>
      <c r="D49" s="2" t="str" cm="1">
        <f t="array" ref="D49">A49&amp;B49&amp;_xlfn.IFS(C49 &lt; 10,"B00"&amp;C49,AND(C49 &gt;= 10,C49 &lt; 100),"B0"&amp;C49,C49 &gt;= 100,"B"&amp;C49)</f>
        <v>SMTB2B014</v>
      </c>
      <c r="E49" t="s">
        <v>18</v>
      </c>
      <c r="F49" s="2" t="str">
        <f>SUBSTITUTE(E49,"DLP"," ")</f>
        <v>Sejarah</v>
      </c>
      <c r="G49" t="s">
        <v>36</v>
      </c>
      <c r="H49" s="2" t="str" cm="1">
        <f t="array" ref="H49">_xlfn.IFS(G49 = "KSSR","Kokurikulum Standard Sekolah Rendah",G49 = "KSSM","Kokurikulum Standard Sekolah Menengah",G49 = "KBDKBT","Kokurikulum Bersepadu Dini dan Kokurikulum Bersepadu Tahfiz",G49 = "SSeM","Sekolah Seni Malaysia",G49 = "KC","Kesusasteraan Cina",G49 = "KSSMPK","Pendidikan Khas",G49 = "MPEI","Mata Pelajaran Elektif Ikhtisas",G49 = "MPET","Mata Pelajaran Elektif Teknikal",G49 = "MPV","Mata Pelajaran Vokasional",G49 = "MPAK","Mata Pelajaran Aliran Kebangsaan")</f>
        <v>Kokurikulum Standard Sekolah Menengah</v>
      </c>
      <c r="I49" t="str" cm="1">
        <f t="array" ref="I49">_xlfn.IFS(A49="SR","Sekolah Rendah",A49="SM","Sekolah Menengah")</f>
        <v>Sekolah Menengah</v>
      </c>
      <c r="J49" s="1" t="str" cm="1">
        <f t="array" ref="J49">_xlfn.SWITCH(B49,"T1","Tahun 1","T2","Tahun 2","T3","Tahun 3","T4","Tahun 4","T5","Tahun 5","T6","Tahun 6","TB1","Tingkatan 1","TB2","Tingkatan 2","TB3","Tingkatan 3","TA4","Tingkatan 4","TA5","Tingkatan 5")</f>
        <v>Tingkatan 2</v>
      </c>
      <c r="K49" t="b">
        <f>IF(COUNTIF(E49,"*DLP*"),TRUE)</f>
        <v>0</v>
      </c>
      <c r="L49" s="2" t="s">
        <v>130</v>
      </c>
    </row>
    <row r="50" spans="1:12" x14ac:dyDescent="0.3">
      <c r="A50" t="s">
        <v>8</v>
      </c>
      <c r="B50" t="s">
        <v>22</v>
      </c>
      <c r="C50">
        <f>C49+1</f>
        <v>15</v>
      </c>
      <c r="D50" s="2" t="str" cm="1">
        <f t="array" ref="D50">A50&amp;B50&amp;_xlfn.IFS(C50 &lt; 10,"B00"&amp;C50,AND(C50 &gt;= 10,C50 &lt; 100),"B0"&amp;C50,C50 &gt;= 100,"B"&amp;C50)</f>
        <v>SMTB2B015</v>
      </c>
      <c r="E50" t="s">
        <v>49</v>
      </c>
      <c r="F50" s="2" t="str">
        <f>SUBSTITUTE(E50,"DLP"," ")</f>
        <v>Al-Lughah Al-Arabiah Al-Muasirah</v>
      </c>
      <c r="G50" t="s">
        <v>38</v>
      </c>
      <c r="H50" s="2" t="str" cm="1">
        <f t="array" ref="H50">_xlfn.IFS(G50 = "KSSR","Kokurikulum Standard Sekolah Rendah",G50 = "KSSM","Kokurikulum Standard Sekolah Menengah",G50 = "KBDKBT","Kokurikulum Bersepadu Dini dan Kokurikulum Bersepadu Tahfiz",G50 = "SSeM","Sekolah Seni Malaysia",G50 = "KC","Kesusasteraan Cina",G50 = "KSSMPK","Pendidikan Khas",G50 = "MPEI","Mata Pelajaran Elektif Ikhtisas",G50 = "MPET","Mata Pelajaran Elektif Teknikal",G50 = "MPV","Mata Pelajaran Vokasional",G50 = "MPAK","Mata Pelajaran Aliran Kebangsaan")</f>
        <v>Kokurikulum Bersepadu Dini dan Kokurikulum Bersepadu Tahfiz</v>
      </c>
      <c r="I50" t="str" cm="1">
        <f t="array" ref="I50">_xlfn.IFS(A50="SR","Sekolah Rendah",A50="SM","Sekolah Menengah")</f>
        <v>Sekolah Menengah</v>
      </c>
      <c r="J50" s="1" t="str" cm="1">
        <f t="array" ref="J50">_xlfn.SWITCH(B50,"T1","Tahun 1","T2","Tahun 2","T3","Tahun 3","T4","Tahun 4","T5","Tahun 5","T6","Tahun 6","TB1","Tingkatan 1","TB2","Tingkatan 2","TB3","Tingkatan 3","TA4","Tingkatan 4","TA5","Tingkatan 5")</f>
        <v>Tingkatan 2</v>
      </c>
      <c r="K50" t="b">
        <f>IF(COUNTIF(E50,"*DLP*"),TRUE)</f>
        <v>0</v>
      </c>
      <c r="L50" s="2" t="s">
        <v>130</v>
      </c>
    </row>
    <row r="51" spans="1:12" x14ac:dyDescent="0.3">
      <c r="A51" t="s">
        <v>8</v>
      </c>
      <c r="B51" t="s">
        <v>22</v>
      </c>
      <c r="C51">
        <f>C50+1</f>
        <v>16</v>
      </c>
      <c r="D51" s="2" t="str" cm="1">
        <f t="array" ref="D51">A51&amp;B51&amp;_xlfn.IFS(C51 &lt; 10,"B00"&amp;C51,AND(C51 &gt;= 10,C51 &lt; 100),"B0"&amp;C51,C51 &gt;= 100,"B"&amp;C51)</f>
        <v>SMTB2B016</v>
      </c>
      <c r="E51" t="s">
        <v>37</v>
      </c>
      <c r="F51" s="2" t="str">
        <f>SUBSTITUTE(E51,"DLP"," ")</f>
        <v>Al-Syariah</v>
      </c>
      <c r="G51" t="s">
        <v>38</v>
      </c>
      <c r="H51" s="2" t="str" cm="1">
        <f t="array" ref="H51">_xlfn.IFS(G51 = "KSSR","Kokurikulum Standard Sekolah Rendah",G51 = "KSSM","Kokurikulum Standard Sekolah Menengah",G51 = "KBDKBT","Kokurikulum Bersepadu Dini dan Kokurikulum Bersepadu Tahfiz",G51 = "SSeM","Sekolah Seni Malaysia",G51 = "KC","Kesusasteraan Cina",G51 = "KSSMPK","Pendidikan Khas",G51 = "MPEI","Mata Pelajaran Elektif Ikhtisas",G51 = "MPET","Mata Pelajaran Elektif Teknikal",G51 = "MPV","Mata Pelajaran Vokasional",G51 = "MPAK","Mata Pelajaran Aliran Kebangsaan")</f>
        <v>Kokurikulum Bersepadu Dini dan Kokurikulum Bersepadu Tahfiz</v>
      </c>
      <c r="I51" t="str" cm="1">
        <f t="array" ref="I51">_xlfn.IFS(A51="SR","Sekolah Rendah",A51="SM","Sekolah Menengah")</f>
        <v>Sekolah Menengah</v>
      </c>
      <c r="J51" s="1" t="str" cm="1">
        <f t="array" ref="J51">_xlfn.SWITCH(B51,"T1","Tahun 1","T2","Tahun 2","T3","Tahun 3","T4","Tahun 4","T5","Tahun 5","T6","Tahun 6","TB1","Tingkatan 1","TB2","Tingkatan 2","TB3","Tingkatan 3","TA4","Tingkatan 4","TA5","Tingkatan 5")</f>
        <v>Tingkatan 2</v>
      </c>
      <c r="K51" t="b">
        <f>IF(COUNTIF(E51,"*DLP*"),TRUE)</f>
        <v>0</v>
      </c>
      <c r="L51" s="2" t="s">
        <v>130</v>
      </c>
    </row>
    <row r="52" spans="1:12" x14ac:dyDescent="0.3">
      <c r="A52" t="s">
        <v>8</v>
      </c>
      <c r="B52" t="s">
        <v>22</v>
      </c>
      <c r="C52">
        <f>C51+1</f>
        <v>17</v>
      </c>
      <c r="D52" s="2" t="str" cm="1">
        <f t="array" ref="D52">A52&amp;B52&amp;_xlfn.IFS(C52 &lt; 10,"B00"&amp;C52,AND(C52 &gt;= 10,C52 &lt; 100),"B0"&amp;C52,C52 &gt;= 100,"B"&amp;C52)</f>
        <v>SMTB2B017</v>
      </c>
      <c r="E52" t="s">
        <v>40</v>
      </c>
      <c r="F52" s="2" t="str">
        <f>SUBSTITUTE(E52,"DLP"," ")</f>
        <v>Daftar Hifz Al-Quran</v>
      </c>
      <c r="G52" t="s">
        <v>38</v>
      </c>
      <c r="H52" s="2" t="str" cm="1">
        <f t="array" ref="H52">_xlfn.IFS(G52 = "KSSR","Kokurikulum Standard Sekolah Rendah",G52 = "KSSM","Kokurikulum Standard Sekolah Menengah",G52 = "KBDKBT","Kokurikulum Bersepadu Dini dan Kokurikulum Bersepadu Tahfiz",G52 = "SSeM","Sekolah Seni Malaysia",G52 = "KC","Kesusasteraan Cina",G52 = "KSSMPK","Pendidikan Khas",G52 = "MPEI","Mata Pelajaran Elektif Ikhtisas",G52 = "MPET","Mata Pelajaran Elektif Teknikal",G52 = "MPV","Mata Pelajaran Vokasional",G52 = "MPAK","Mata Pelajaran Aliran Kebangsaan")</f>
        <v>Kokurikulum Bersepadu Dini dan Kokurikulum Bersepadu Tahfiz</v>
      </c>
      <c r="I52" t="str" cm="1">
        <f t="array" ref="I52">_xlfn.IFS(A52="SR","Sekolah Rendah",A52="SM","Sekolah Menengah")</f>
        <v>Sekolah Menengah</v>
      </c>
      <c r="J52" s="1" t="str" cm="1">
        <f t="array" ref="J52">_xlfn.SWITCH(B52,"T1","Tahun 1","T2","Tahun 2","T3","Tahun 3","T4","Tahun 4","T5","Tahun 5","T6","Tahun 6","TB1","Tingkatan 1","TB2","Tingkatan 2","TB3","Tingkatan 3","TA4","Tingkatan 4","TA5","Tingkatan 5")</f>
        <v>Tingkatan 2</v>
      </c>
      <c r="K52" t="b">
        <f>IF(COUNTIF(E52,"*DLP*"),TRUE)</f>
        <v>0</v>
      </c>
      <c r="L52" s="2" t="s">
        <v>130</v>
      </c>
    </row>
    <row r="53" spans="1:12" x14ac:dyDescent="0.3">
      <c r="A53" t="s">
        <v>8</v>
      </c>
      <c r="B53" t="s">
        <v>22</v>
      </c>
      <c r="C53">
        <f>C52+1</f>
        <v>18</v>
      </c>
      <c r="D53" s="2" t="str" cm="1">
        <f t="array" ref="D53">A53&amp;B53&amp;_xlfn.IFS(C53 &lt; 10,"B00"&amp;C53,AND(C53 &gt;= 10,C53 &lt; 100),"B0"&amp;C53,C53 &gt;= 100,"B"&amp;C53)</f>
        <v>SMTB2B018</v>
      </c>
      <c r="E53" t="s">
        <v>41</v>
      </c>
      <c r="F53" s="2" t="str">
        <f>SUBSTITUTE(E53,"DLP"," ")</f>
        <v>Maharat Al-Quran</v>
      </c>
      <c r="G53" t="s">
        <v>38</v>
      </c>
      <c r="H53" s="2" t="str" cm="1">
        <f t="array" ref="H53">_xlfn.IFS(G53 = "KSSR","Kokurikulum Standard Sekolah Rendah",G53 = "KSSM","Kokurikulum Standard Sekolah Menengah",G53 = "KBDKBT","Kokurikulum Bersepadu Dini dan Kokurikulum Bersepadu Tahfiz",G53 = "SSeM","Sekolah Seni Malaysia",G53 = "KC","Kesusasteraan Cina",G53 = "KSSMPK","Pendidikan Khas",G53 = "MPEI","Mata Pelajaran Elektif Ikhtisas",G53 = "MPET","Mata Pelajaran Elektif Teknikal",G53 = "MPV","Mata Pelajaran Vokasional",G53 = "MPAK","Mata Pelajaran Aliran Kebangsaan")</f>
        <v>Kokurikulum Bersepadu Dini dan Kokurikulum Bersepadu Tahfiz</v>
      </c>
      <c r="I53" t="str" cm="1">
        <f t="array" ref="I53">_xlfn.IFS(A53="SR","Sekolah Rendah",A53="SM","Sekolah Menengah")</f>
        <v>Sekolah Menengah</v>
      </c>
      <c r="J53" s="1" t="str" cm="1">
        <f t="array" ref="J53">_xlfn.SWITCH(B53,"T1","Tahun 1","T2","Tahun 2","T3","Tahun 3","T4","Tahun 4","T5","Tahun 5","T6","Tahun 6","TB1","Tingkatan 1","TB2","Tingkatan 2","TB3","Tingkatan 3","TA4","Tingkatan 4","TA5","Tingkatan 5")</f>
        <v>Tingkatan 2</v>
      </c>
      <c r="K53" t="b">
        <f>IF(COUNTIF(E53,"*DLP*"),TRUE)</f>
        <v>0</v>
      </c>
      <c r="L53" s="2" t="s">
        <v>130</v>
      </c>
    </row>
    <row r="54" spans="1:12" x14ac:dyDescent="0.3">
      <c r="A54" t="s">
        <v>8</v>
      </c>
      <c r="B54" t="s">
        <v>22</v>
      </c>
      <c r="C54">
        <f>C53+1</f>
        <v>19</v>
      </c>
      <c r="D54" s="2" t="str" cm="1">
        <f t="array" ref="D54">A54&amp;B54&amp;_xlfn.IFS(C54 &lt; 10,"B00"&amp;C54,AND(C54 &gt;= 10,C54 &lt; 100),"B0"&amp;C54,C54 &gt;= 100,"B"&amp;C54)</f>
        <v>SMTB2B019</v>
      </c>
      <c r="E54" t="s">
        <v>39</v>
      </c>
      <c r="F54" s="2" t="str">
        <f>SUBSTITUTE(E54,"DLP"," ")</f>
        <v>Usul Al-Din</v>
      </c>
      <c r="G54" t="s">
        <v>38</v>
      </c>
      <c r="H54" s="2" t="str" cm="1">
        <f t="array" ref="H54">_xlfn.IFS(G54 = "KSSR","Kokurikulum Standard Sekolah Rendah",G54 = "KSSM","Kokurikulum Standard Sekolah Menengah",G54 = "KBDKBT","Kokurikulum Bersepadu Dini dan Kokurikulum Bersepadu Tahfiz",G54 = "SSeM","Sekolah Seni Malaysia",G54 = "KC","Kesusasteraan Cina",G54 = "KSSMPK","Pendidikan Khas",G54 = "MPEI","Mata Pelajaran Elektif Ikhtisas",G54 = "MPET","Mata Pelajaran Elektif Teknikal",G54 = "MPV","Mata Pelajaran Vokasional",G54 = "MPAK","Mata Pelajaran Aliran Kebangsaan")</f>
        <v>Kokurikulum Bersepadu Dini dan Kokurikulum Bersepadu Tahfiz</v>
      </c>
      <c r="I54" t="str" cm="1">
        <f t="array" ref="I54">_xlfn.IFS(A54="SR","Sekolah Rendah",A54="SM","Sekolah Menengah")</f>
        <v>Sekolah Menengah</v>
      </c>
      <c r="J54" s="1" t="str" cm="1">
        <f t="array" ref="J54">_xlfn.SWITCH(B54,"T1","Tahun 1","T2","Tahun 2","T3","Tahun 3","T4","Tahun 4","T5","Tahun 5","T6","Tahun 6","TB1","Tingkatan 1","TB2","Tingkatan 2","TB3","Tingkatan 3","TA4","Tingkatan 4","TA5","Tingkatan 5")</f>
        <v>Tingkatan 2</v>
      </c>
      <c r="K54" t="b">
        <f>IF(COUNTIF(E54,"*DLP*"),TRUE)</f>
        <v>0</v>
      </c>
      <c r="L54" s="2" t="s">
        <v>130</v>
      </c>
    </row>
    <row r="55" spans="1:12" x14ac:dyDescent="0.3">
      <c r="A55" t="s">
        <v>8</v>
      </c>
      <c r="B55" t="s">
        <v>22</v>
      </c>
      <c r="C55">
        <f>C54+1</f>
        <v>20</v>
      </c>
      <c r="D55" s="2" t="str" cm="1">
        <f t="array" ref="D55">A55&amp;B55&amp;_xlfn.IFS(C55 &lt; 10,"B00"&amp;C55,AND(C55 &gt;= 10,C55 &lt; 100),"B0"&amp;C55,C55 &gt;= 100,"B"&amp;C55)</f>
        <v>SMTB2B020</v>
      </c>
      <c r="E55" t="s">
        <v>42</v>
      </c>
      <c r="F55" s="2" t="str">
        <f>SUBSTITUTE(E55,"DLP"," ")</f>
        <v>Seni Muzik</v>
      </c>
      <c r="G55" t="s">
        <v>46</v>
      </c>
      <c r="H55" s="2" t="str" cm="1">
        <f t="array" ref="H55">_xlfn.IFS(G55 = "KSSR","Kokurikulum Standard Sekolah Rendah",G55 = "KSSM","Kokurikulum Standard Sekolah Menengah",G55 = "KBDKBT","Kokurikulum Bersepadu Dini dan Kokurikulum Bersepadu Tahfiz",G55 = "SSeM","Sekolah Seni Malaysia",G55 = "KC","Kesusasteraan Cina",G55 = "KSSMPK","Pendidikan Khas",G55 = "MPEI","Mata Pelajaran Elektif Ikhtisas",G55 = "MPET","Mata Pelajaran Elektif Teknikal",G55 = "MPV","Mata Pelajaran Vokasional",G55 = "MPAK","Mata Pelajaran Aliran Kebangsaan")</f>
        <v>Sekolah Seni Malaysia</v>
      </c>
      <c r="I55" t="str" cm="1">
        <f t="array" ref="I55">_xlfn.IFS(A55="SR","Sekolah Rendah",A55="SM","Sekolah Menengah")</f>
        <v>Sekolah Menengah</v>
      </c>
      <c r="J55" s="1" t="str" cm="1">
        <f t="array" ref="J55">_xlfn.SWITCH(B55,"T1","Tahun 1","T2","Tahun 2","T3","Tahun 3","T4","Tahun 4","T5","Tahun 5","T6","Tahun 6","TB1","Tingkatan 1","TB2","Tingkatan 2","TB3","Tingkatan 3","TA4","Tingkatan 4","TA5","Tingkatan 5")</f>
        <v>Tingkatan 2</v>
      </c>
      <c r="K55" t="b">
        <f>IF(COUNTIF(E55,"*DLP*"),TRUE)</f>
        <v>0</v>
      </c>
      <c r="L55" s="2" t="s">
        <v>130</v>
      </c>
    </row>
    <row r="56" spans="1:12" x14ac:dyDescent="0.3">
      <c r="A56" t="s">
        <v>8</v>
      </c>
      <c r="B56" t="s">
        <v>22</v>
      </c>
      <c r="C56">
        <f>C55+1</f>
        <v>21</v>
      </c>
      <c r="D56" s="2" t="str" cm="1">
        <f t="array" ref="D56">A56&amp;B56&amp;_xlfn.IFS(C56 &lt; 10,"B00"&amp;C56,AND(C56 &gt;= 10,C56 &lt; 100),"B0"&amp;C56,C56 &gt;= 100,"B"&amp;C56)</f>
        <v>SMTB2B021</v>
      </c>
      <c r="E56" t="s">
        <v>43</v>
      </c>
      <c r="F56" s="2" t="str">
        <f>SUBSTITUTE(E56,"DLP"," ")</f>
        <v>Seni Tari</v>
      </c>
      <c r="G56" t="s">
        <v>46</v>
      </c>
      <c r="H56" s="2" t="str" cm="1">
        <f t="array" ref="H56">_xlfn.IFS(G56 = "KSSR","Kokurikulum Standard Sekolah Rendah",G56 = "KSSM","Kokurikulum Standard Sekolah Menengah",G56 = "KBDKBT","Kokurikulum Bersepadu Dini dan Kokurikulum Bersepadu Tahfiz",G56 = "SSeM","Sekolah Seni Malaysia",G56 = "KC","Kesusasteraan Cina",G56 = "KSSMPK","Pendidikan Khas",G56 = "MPEI","Mata Pelajaran Elektif Ikhtisas",G56 = "MPET","Mata Pelajaran Elektif Teknikal",G56 = "MPV","Mata Pelajaran Vokasional",G56 = "MPAK","Mata Pelajaran Aliran Kebangsaan")</f>
        <v>Sekolah Seni Malaysia</v>
      </c>
      <c r="I56" t="str" cm="1">
        <f t="array" ref="I56">_xlfn.IFS(A56="SR","Sekolah Rendah",A56="SM","Sekolah Menengah")</f>
        <v>Sekolah Menengah</v>
      </c>
      <c r="J56" s="1" t="str" cm="1">
        <f t="array" ref="J56">_xlfn.SWITCH(B56,"T1","Tahun 1","T2","Tahun 2","T3","Tahun 3","T4","Tahun 4","T5","Tahun 5","T6","Tahun 6","TB1","Tingkatan 1","TB2","Tingkatan 2","TB3","Tingkatan 3","TA4","Tingkatan 4","TA5","Tingkatan 5")</f>
        <v>Tingkatan 2</v>
      </c>
      <c r="K56" t="b">
        <f>IF(COUNTIF(E56,"*DLP*"),TRUE)</f>
        <v>0</v>
      </c>
      <c r="L56" s="2" t="s">
        <v>130</v>
      </c>
    </row>
    <row r="57" spans="1:12" x14ac:dyDescent="0.3">
      <c r="A57" t="s">
        <v>8</v>
      </c>
      <c r="B57" t="s">
        <v>22</v>
      </c>
      <c r="C57">
        <f>C56+1</f>
        <v>22</v>
      </c>
      <c r="D57" s="2" t="str" cm="1">
        <f t="array" ref="D57">A57&amp;B57&amp;_xlfn.IFS(C57 &lt; 10,"B00"&amp;C57,AND(C57 &gt;= 10,C57 &lt; 100),"B0"&amp;C57,C57 &gt;= 100,"B"&amp;C57)</f>
        <v>SMTB2B022</v>
      </c>
      <c r="E57" t="s">
        <v>44</v>
      </c>
      <c r="F57" s="2" t="str">
        <f>SUBSTITUTE(E57,"DLP"," ")</f>
        <v>Seni Teater</v>
      </c>
      <c r="G57" t="s">
        <v>46</v>
      </c>
      <c r="H57" s="2" t="str" cm="1">
        <f t="array" ref="H57">_xlfn.IFS(G57 = "KSSR","Kokurikulum Standard Sekolah Rendah",G57 = "KSSM","Kokurikulum Standard Sekolah Menengah",G57 = "KBDKBT","Kokurikulum Bersepadu Dini dan Kokurikulum Bersepadu Tahfiz",G57 = "SSeM","Sekolah Seni Malaysia",G57 = "KC","Kesusasteraan Cina",G57 = "KSSMPK","Pendidikan Khas",G57 = "MPEI","Mata Pelajaran Elektif Ikhtisas",G57 = "MPET","Mata Pelajaran Elektif Teknikal",G57 = "MPV","Mata Pelajaran Vokasional",G57 = "MPAK","Mata Pelajaran Aliran Kebangsaan")</f>
        <v>Sekolah Seni Malaysia</v>
      </c>
      <c r="I57" t="str" cm="1">
        <f t="array" ref="I57">_xlfn.IFS(A57="SR","Sekolah Rendah",A57="SM","Sekolah Menengah")</f>
        <v>Sekolah Menengah</v>
      </c>
      <c r="J57" s="1" t="str" cm="1">
        <f t="array" ref="J57">_xlfn.SWITCH(B57,"T1","Tahun 1","T2","Tahun 2","T3","Tahun 3","T4","Tahun 4","T5","Tahun 5","T6","Tahun 6","TB1","Tingkatan 1","TB2","Tingkatan 2","TB3","Tingkatan 3","TA4","Tingkatan 4","TA5","Tingkatan 5")</f>
        <v>Tingkatan 2</v>
      </c>
      <c r="K57" t="b">
        <f>IF(COUNTIF(E57,"*DLP*"),TRUE)</f>
        <v>0</v>
      </c>
      <c r="L57" s="2" t="s">
        <v>130</v>
      </c>
    </row>
    <row r="58" spans="1:12" x14ac:dyDescent="0.3">
      <c r="A58" t="s">
        <v>8</v>
      </c>
      <c r="B58" t="s">
        <v>22</v>
      </c>
      <c r="C58">
        <f>C57+1</f>
        <v>23</v>
      </c>
      <c r="D58" s="2" t="str" cm="1">
        <f t="array" ref="D58">A58&amp;B58&amp;_xlfn.IFS(C58 &lt; 10,"B00"&amp;C58,AND(C58 &gt;= 10,C58 &lt; 100),"B0"&amp;C58,C58 &gt;= 100,"B"&amp;C58)</f>
        <v>SMTB2B023</v>
      </c>
      <c r="E58" t="s">
        <v>45</v>
      </c>
      <c r="F58" s="2" t="str">
        <f>SUBSTITUTE(E58,"DLP"," ")</f>
        <v>Seni Visual</v>
      </c>
      <c r="G58" t="s">
        <v>46</v>
      </c>
      <c r="H58" s="2" t="str" cm="1">
        <f t="array" ref="H58">_xlfn.IFS(G58 = "KSSR","Kokurikulum Standard Sekolah Rendah",G58 = "KSSM","Kokurikulum Standard Sekolah Menengah",G58 = "KBDKBT","Kokurikulum Bersepadu Dini dan Kokurikulum Bersepadu Tahfiz",G58 = "SSeM","Sekolah Seni Malaysia",G58 = "KC","Kesusasteraan Cina",G58 = "KSSMPK","Pendidikan Khas",G58 = "MPEI","Mata Pelajaran Elektif Ikhtisas",G58 = "MPET","Mata Pelajaran Elektif Teknikal",G58 = "MPV","Mata Pelajaran Vokasional",G58 = "MPAK","Mata Pelajaran Aliran Kebangsaan")</f>
        <v>Sekolah Seni Malaysia</v>
      </c>
      <c r="I58" t="str" cm="1">
        <f t="array" ref="I58">_xlfn.IFS(A58="SR","Sekolah Rendah",A58="SM","Sekolah Menengah")</f>
        <v>Sekolah Menengah</v>
      </c>
      <c r="J58" s="1" t="str" cm="1">
        <f t="array" ref="J58">_xlfn.SWITCH(B58,"T1","Tahun 1","T2","Tahun 2","T3","Tahun 3","T4","Tahun 4","T5","Tahun 5","T6","Tahun 6","TB1","Tingkatan 1","TB2","Tingkatan 2","TB3","Tingkatan 3","TA4","Tingkatan 4","TA5","Tingkatan 5")</f>
        <v>Tingkatan 2</v>
      </c>
      <c r="K58" t="b">
        <f>IF(COUNTIF(E58,"*DLP*"),TRUE)</f>
        <v>0</v>
      </c>
      <c r="L58" s="2" t="s">
        <v>130</v>
      </c>
    </row>
    <row r="59" spans="1:12" x14ac:dyDescent="0.3">
      <c r="A59" t="s">
        <v>8</v>
      </c>
      <c r="B59" t="s">
        <v>23</v>
      </c>
      <c r="C59">
        <v>1</v>
      </c>
      <c r="D59" s="2" t="str" cm="1">
        <f t="array" ref="D59">A59&amp;B59&amp;_xlfn.IFS(C59 &lt; 10,"B00"&amp;C59,AND(C59 &gt;= 10,C59 &lt; 100),"B0"&amp;C59,C59 &gt;= 100,"B"&amp;C59)</f>
        <v>SMTB3B001</v>
      </c>
      <c r="E59" t="s">
        <v>21</v>
      </c>
      <c r="F59" s="2" t="str">
        <f>SUBSTITUTE(E59,"DLP"," ")</f>
        <v>Asas Sains Komputer</v>
      </c>
      <c r="G59" t="s">
        <v>36</v>
      </c>
      <c r="H59" s="2" t="str" cm="1">
        <f t="array" ref="H59">_xlfn.IFS(G59 = "KSSR","Kokurikulum Standard Sekolah Rendah",G59 = "KSSM","Kokurikulum Standard Sekolah Menengah",G59 = "KBDKBT","Kokurikulum Bersepadu Dini dan Kokurikulum Bersepadu Tahfiz",G59 = "SSeM","Sekolah Seni Malaysia",G59 = "KC","Kesusasteraan Cina",G59 = "KSSMPK","Pendidikan Khas",G59 = "MPEI","Mata Pelajaran Elektif Ikhtisas",G59 = "MPET","Mata Pelajaran Elektif Teknikal",G59 = "MPV","Mata Pelajaran Vokasional",G59 = "MPAK","Mata Pelajaran Aliran Kebangsaan")</f>
        <v>Kokurikulum Standard Sekolah Menengah</v>
      </c>
      <c r="I59" t="str" cm="1">
        <f t="array" ref="I59">_xlfn.IFS(A59="SR","Sekolah Rendah",A59="SM","Sekolah Menengah")</f>
        <v>Sekolah Menengah</v>
      </c>
      <c r="J59" s="1" t="str" cm="1">
        <f t="array" ref="J59">_xlfn.SWITCH(B59,"T1","Tahun 1","T2","Tahun 2","T3","Tahun 3","T4","Tahun 4","T5","Tahun 5","T6","Tahun 6","TB1","Tingkatan 1","TB2","Tingkatan 2","TB3","Tingkatan 3","TA4","Tingkatan 4","TA5","Tingkatan 5")</f>
        <v>Tingkatan 3</v>
      </c>
      <c r="K59" t="b">
        <f>IF(COUNTIF(E59,"*DLP*"),TRUE)</f>
        <v>0</v>
      </c>
      <c r="L59" s="2" t="s">
        <v>130</v>
      </c>
    </row>
    <row r="60" spans="1:12" x14ac:dyDescent="0.3">
      <c r="A60" t="s">
        <v>8</v>
      </c>
      <c r="B60" t="s">
        <v>23</v>
      </c>
      <c r="C60">
        <f>C59+1</f>
        <v>2</v>
      </c>
      <c r="D60" s="2" t="str" cm="1">
        <f t="array" ref="D60">A60&amp;B60&amp;_xlfn.IFS(C60 &lt; 10,"B00"&amp;C60,AND(C60 &gt;= 10,C60 &lt; 100),"B0"&amp;C60,C60 &gt;= 100,"B"&amp;C60)</f>
        <v>SMTB3B002</v>
      </c>
      <c r="E60" t="s">
        <v>28</v>
      </c>
      <c r="F60" s="2" t="str">
        <f>SUBSTITUTE(E60,"DLP"," ")</f>
        <v>Bahasa Arab</v>
      </c>
      <c r="G60" t="s">
        <v>36</v>
      </c>
      <c r="H60" s="2" t="str" cm="1">
        <f t="array" ref="H60">_xlfn.IFS(G60 = "KSSR","Kokurikulum Standard Sekolah Rendah",G60 = "KSSM","Kokurikulum Standard Sekolah Menengah",G60 = "KBDKBT","Kokurikulum Bersepadu Dini dan Kokurikulum Bersepadu Tahfiz",G60 = "SSeM","Sekolah Seni Malaysia",G60 = "KC","Kesusasteraan Cina",G60 = "KSSMPK","Pendidikan Khas",G60 = "MPEI","Mata Pelajaran Elektif Ikhtisas",G60 = "MPET","Mata Pelajaran Elektif Teknikal",G60 = "MPV","Mata Pelajaran Vokasional",G60 = "MPAK","Mata Pelajaran Aliran Kebangsaan")</f>
        <v>Kokurikulum Standard Sekolah Menengah</v>
      </c>
      <c r="I60" t="str" cm="1">
        <f t="array" ref="I60">_xlfn.IFS(A60="SR","Sekolah Rendah",A60="SM","Sekolah Menengah")</f>
        <v>Sekolah Menengah</v>
      </c>
      <c r="J60" s="1" t="str" cm="1">
        <f t="array" ref="J60">_xlfn.SWITCH(B60,"T1","Tahun 1","T2","Tahun 2","T3","Tahun 3","T4","Tahun 4","T5","Tahun 5","T6","Tahun 6","TB1","Tingkatan 1","TB2","Tingkatan 2","TB3","Tingkatan 3","TA4","Tingkatan 4","TA5","Tingkatan 5")</f>
        <v>Tingkatan 3</v>
      </c>
      <c r="K60" t="b">
        <f>IF(COUNTIF(E60,"*DLP*"),TRUE)</f>
        <v>0</v>
      </c>
      <c r="L60" s="2" t="s">
        <v>130</v>
      </c>
    </row>
    <row r="61" spans="1:12" x14ac:dyDescent="0.3">
      <c r="A61" t="s">
        <v>8</v>
      </c>
      <c r="B61" t="s">
        <v>23</v>
      </c>
      <c r="C61">
        <f>C60+1</f>
        <v>3</v>
      </c>
      <c r="D61" s="2" t="str" cm="1">
        <f t="array" ref="D61">A61&amp;B61&amp;_xlfn.IFS(C61 &lt; 10,"B00"&amp;C61,AND(C61 &gt;= 10,C61 &lt; 100),"B0"&amp;C61,C61 &gt;= 100,"B"&amp;C61)</f>
        <v>SMTB3B003</v>
      </c>
      <c r="E61" t="s">
        <v>30</v>
      </c>
      <c r="F61" s="2" t="str">
        <f>SUBSTITUTE(E61,"DLP"," ")</f>
        <v>Bahasa Cina</v>
      </c>
      <c r="G61" t="s">
        <v>36</v>
      </c>
      <c r="H61" s="2" t="str" cm="1">
        <f t="array" ref="H61">_xlfn.IFS(G61 = "KSSR","Kokurikulum Standard Sekolah Rendah",G61 = "KSSM","Kokurikulum Standard Sekolah Menengah",G61 = "KBDKBT","Kokurikulum Bersepadu Dini dan Kokurikulum Bersepadu Tahfiz",G61 = "SSeM","Sekolah Seni Malaysia",G61 = "KC","Kesusasteraan Cina",G61 = "KSSMPK","Pendidikan Khas",G61 = "MPEI","Mata Pelajaran Elektif Ikhtisas",G61 = "MPET","Mata Pelajaran Elektif Teknikal",G61 = "MPV","Mata Pelajaran Vokasional",G61 = "MPAK","Mata Pelajaran Aliran Kebangsaan")</f>
        <v>Kokurikulum Standard Sekolah Menengah</v>
      </c>
      <c r="I61" t="str" cm="1">
        <f t="array" ref="I61">_xlfn.IFS(A61="SR","Sekolah Rendah",A61="SM","Sekolah Menengah")</f>
        <v>Sekolah Menengah</v>
      </c>
      <c r="J61" s="1" t="str" cm="1">
        <f t="array" ref="J61">_xlfn.SWITCH(B61,"T1","Tahun 1","T2","Tahun 2","T3","Tahun 3","T4","Tahun 4","T5","Tahun 5","T6","Tahun 6","TB1","Tingkatan 1","TB2","Tingkatan 2","TB3","Tingkatan 3","TA4","Tingkatan 4","TA5","Tingkatan 5")</f>
        <v>Tingkatan 3</v>
      </c>
      <c r="K61" t="b">
        <f>IF(COUNTIF(E61,"*DLP*"),TRUE)</f>
        <v>0</v>
      </c>
      <c r="L61" s="2" t="s">
        <v>130</v>
      </c>
    </row>
    <row r="62" spans="1:12" x14ac:dyDescent="0.3">
      <c r="A62" t="s">
        <v>8</v>
      </c>
      <c r="B62" t="s">
        <v>23</v>
      </c>
      <c r="C62">
        <f>C61+1</f>
        <v>4</v>
      </c>
      <c r="D62" s="2" t="str" cm="1">
        <f t="array" ref="D62">A62&amp;B62&amp;_xlfn.IFS(C62 &lt; 10,"B00"&amp;C62,AND(C62 &gt;= 10,C62 &lt; 100),"B0"&amp;C62,C62 &gt;= 100,"B"&amp;C62)</f>
        <v>SMTB3B004</v>
      </c>
      <c r="E62" t="s">
        <v>51</v>
      </c>
      <c r="F62" s="2" t="str">
        <f>SUBSTITUTE(E62,"DLP"," ")</f>
        <v>Bahasa Iban</v>
      </c>
      <c r="G62" t="s">
        <v>36</v>
      </c>
      <c r="H62" s="2" t="str" cm="1">
        <f t="array" ref="H62">_xlfn.IFS(G62 = "KSSR","Kokurikulum Standard Sekolah Rendah",G62 = "KSSM","Kokurikulum Standard Sekolah Menengah",G62 = "KBDKBT","Kokurikulum Bersepadu Dini dan Kokurikulum Bersepadu Tahfiz",G62 = "SSeM","Sekolah Seni Malaysia",G62 = "KC","Kesusasteraan Cina",G62 = "KSSMPK","Pendidikan Khas",G62 = "MPEI","Mata Pelajaran Elektif Ikhtisas",G62 = "MPET","Mata Pelajaran Elektif Teknikal",G62 = "MPV","Mata Pelajaran Vokasional",G62 = "MPAK","Mata Pelajaran Aliran Kebangsaan")</f>
        <v>Kokurikulum Standard Sekolah Menengah</v>
      </c>
      <c r="I62" t="str" cm="1">
        <f t="array" ref="I62">_xlfn.IFS(A62="SR","Sekolah Rendah",A62="SM","Sekolah Menengah")</f>
        <v>Sekolah Menengah</v>
      </c>
      <c r="J62" s="1" t="str" cm="1">
        <f t="array" ref="J62">_xlfn.SWITCH(B62,"T1","Tahun 1","T2","Tahun 2","T3","Tahun 3","T4","Tahun 4","T5","Tahun 5","T6","Tahun 6","TB1","Tingkatan 1","TB2","Tingkatan 2","TB3","Tingkatan 3","TA4","Tingkatan 4","TA5","Tingkatan 5")</f>
        <v>Tingkatan 3</v>
      </c>
      <c r="K62" t="b">
        <f>IF(COUNTIF(E62,"*DLP*"),TRUE)</f>
        <v>0</v>
      </c>
      <c r="L62" s="2" t="s">
        <v>130</v>
      </c>
    </row>
    <row r="63" spans="1:12" x14ac:dyDescent="0.3">
      <c r="A63" t="s">
        <v>8</v>
      </c>
      <c r="B63" t="s">
        <v>23</v>
      </c>
      <c r="C63">
        <f>C62+1</f>
        <v>5</v>
      </c>
      <c r="D63" s="2" t="str" cm="1">
        <f t="array" ref="D63">A63&amp;B63&amp;_xlfn.IFS(C63 &lt; 10,"B00"&amp;C63,AND(C63 &gt;= 10,C63 &lt; 100),"B0"&amp;C63,C63 &gt;= 100,"B"&amp;C63)</f>
        <v>SMTB3B005</v>
      </c>
      <c r="E63" t="s">
        <v>32</v>
      </c>
      <c r="F63" s="2" t="str">
        <f>SUBSTITUTE(E63,"DLP"," ")</f>
        <v>Bahasa Jepun (Menengah Rendah)</v>
      </c>
      <c r="G63" t="s">
        <v>36</v>
      </c>
      <c r="H63" s="2" t="str" cm="1">
        <f t="array" ref="H63">_xlfn.IFS(G63 = "KSSR","Kokurikulum Standard Sekolah Rendah",G63 = "KSSM","Kokurikulum Standard Sekolah Menengah",G63 = "KBDKBT","Kokurikulum Bersepadu Dini dan Kokurikulum Bersepadu Tahfiz",G63 = "SSeM","Sekolah Seni Malaysia",G63 = "KC","Kesusasteraan Cina",G63 = "KSSMPK","Pendidikan Khas",G63 = "MPEI","Mata Pelajaran Elektif Ikhtisas",G63 = "MPET","Mata Pelajaran Elektif Teknikal",G63 = "MPV","Mata Pelajaran Vokasional",G63 = "MPAK","Mata Pelajaran Aliran Kebangsaan")</f>
        <v>Kokurikulum Standard Sekolah Menengah</v>
      </c>
      <c r="I63" t="str" cm="1">
        <f t="array" ref="I63">_xlfn.IFS(A63="SR","Sekolah Rendah",A63="SM","Sekolah Menengah")</f>
        <v>Sekolah Menengah</v>
      </c>
      <c r="J63" s="1" t="str" cm="1">
        <f t="array" ref="J63">_xlfn.SWITCH(B63,"T1","Tahun 1","T2","Tahun 2","T3","Tahun 3","T4","Tahun 4","T5","Tahun 5","T6","Tahun 6","TB1","Tingkatan 1","TB2","Tingkatan 2","TB3","Tingkatan 3","TA4","Tingkatan 4","TA5","Tingkatan 5")</f>
        <v>Tingkatan 3</v>
      </c>
      <c r="K63" t="b">
        <f>IF(COUNTIF(E63,"*DLP*"),TRUE)</f>
        <v>0</v>
      </c>
      <c r="L63" s="2" t="s">
        <v>130</v>
      </c>
    </row>
    <row r="64" spans="1:12" x14ac:dyDescent="0.3">
      <c r="A64" t="s">
        <v>8</v>
      </c>
      <c r="B64" t="s">
        <v>23</v>
      </c>
      <c r="C64">
        <f>C63+1</f>
        <v>6</v>
      </c>
      <c r="D64" s="2" t="str" cm="1">
        <f t="array" ref="D64">A64&amp;B64&amp;_xlfn.IFS(C64 &lt; 10,"B00"&amp;C64,AND(C64 &gt;= 10,C64 &lt; 100),"B0"&amp;C64,C64 &gt;= 100,"B"&amp;C64)</f>
        <v>SMTB3B006</v>
      </c>
      <c r="E64" t="s">
        <v>48</v>
      </c>
      <c r="F64" s="2" t="str">
        <f>SUBSTITUTE(E64,"DLP"," ")</f>
        <v>Bahasa Kadazandusun</v>
      </c>
      <c r="G64" t="s">
        <v>36</v>
      </c>
      <c r="H64" s="2" t="str" cm="1">
        <f t="array" ref="H64">_xlfn.IFS(G64 = "KSSR","Kokurikulum Standard Sekolah Rendah",G64 = "KSSM","Kokurikulum Standard Sekolah Menengah",G64 = "KBDKBT","Kokurikulum Bersepadu Dini dan Kokurikulum Bersepadu Tahfiz",G64 = "SSeM","Sekolah Seni Malaysia",G64 = "KC","Kesusasteraan Cina",G64 = "KSSMPK","Pendidikan Khas",G64 = "MPEI","Mata Pelajaran Elektif Ikhtisas",G64 = "MPET","Mata Pelajaran Elektif Teknikal",G64 = "MPV","Mata Pelajaran Vokasional",G64 = "MPAK","Mata Pelajaran Aliran Kebangsaan")</f>
        <v>Kokurikulum Standard Sekolah Menengah</v>
      </c>
      <c r="I64" t="str" cm="1">
        <f t="array" ref="I64">_xlfn.IFS(A64="SR","Sekolah Rendah",A64="SM","Sekolah Menengah")</f>
        <v>Sekolah Menengah</v>
      </c>
      <c r="J64" s="1" t="str" cm="1">
        <f t="array" ref="J64">_xlfn.SWITCH(B64,"T1","Tahun 1","T2","Tahun 2","T3","Tahun 3","T4","Tahun 4","T5","Tahun 5","T6","Tahun 6","TB1","Tingkatan 1","TB2","Tingkatan 2","TB3","Tingkatan 3","TA4","Tingkatan 4","TA5","Tingkatan 5")</f>
        <v>Tingkatan 3</v>
      </c>
      <c r="K64" t="b">
        <f>IF(COUNTIF(E64,"*DLP*"),TRUE)</f>
        <v>0</v>
      </c>
      <c r="L64" s="2" t="s">
        <v>130</v>
      </c>
    </row>
    <row r="65" spans="1:12" x14ac:dyDescent="0.3">
      <c r="A65" t="s">
        <v>8</v>
      </c>
      <c r="B65" t="s">
        <v>23</v>
      </c>
      <c r="C65">
        <f>C64+1</f>
        <v>7</v>
      </c>
      <c r="D65" s="2" t="str" cm="1">
        <f t="array" ref="D65">A65&amp;B65&amp;_xlfn.IFS(C65 &lt; 10,"B00"&amp;C65,AND(C65 &gt;= 10,C65 &lt; 100),"B0"&amp;C65,C65 &gt;= 100,"B"&amp;C65)</f>
        <v>SMTB3B007</v>
      </c>
      <c r="E65" t="s">
        <v>7</v>
      </c>
      <c r="F65" s="2" t="str">
        <f>SUBSTITUTE(E65,"DLP"," ")</f>
        <v>Bahasa Melayu</v>
      </c>
      <c r="G65" t="s">
        <v>36</v>
      </c>
      <c r="H65" s="2" t="str" cm="1">
        <f t="array" ref="H65">_xlfn.IFS(G65 = "KSSR","Kokurikulum Standard Sekolah Rendah",G65 = "KSSM","Kokurikulum Standard Sekolah Menengah",G65 = "KBDKBT","Kokurikulum Bersepadu Dini dan Kokurikulum Bersepadu Tahfiz",G65 = "SSeM","Sekolah Seni Malaysia",G65 = "KC","Kesusasteraan Cina",G65 = "KSSMPK","Pendidikan Khas",G65 = "MPEI","Mata Pelajaran Elektif Ikhtisas",G65 = "MPET","Mata Pelajaran Elektif Teknikal",G65 = "MPV","Mata Pelajaran Vokasional",G65 = "MPAK","Mata Pelajaran Aliran Kebangsaan")</f>
        <v>Kokurikulum Standard Sekolah Menengah</v>
      </c>
      <c r="I65" t="str" cm="1">
        <f t="array" ref="I65">_xlfn.IFS(A65="SR","Sekolah Rendah",A65="SM","Sekolah Menengah")</f>
        <v>Sekolah Menengah</v>
      </c>
      <c r="J65" s="1" t="str" cm="1">
        <f t="array" ref="J65">_xlfn.SWITCH(B65,"T1","Tahun 1","T2","Tahun 2","T3","Tahun 3","T4","Tahun 4","T5","Tahun 5","T6","Tahun 6","TB1","Tingkatan 1","TB2","Tingkatan 2","TB3","Tingkatan 3","TA4","Tingkatan 4","TA5","Tingkatan 5")</f>
        <v>Tingkatan 3</v>
      </c>
      <c r="K65" t="b">
        <f>IF(COUNTIF(E65,"*DLP*"),TRUE)</f>
        <v>0</v>
      </c>
      <c r="L65" s="2" t="s">
        <v>130</v>
      </c>
    </row>
    <row r="66" spans="1:12" x14ac:dyDescent="0.3">
      <c r="A66" t="s">
        <v>8</v>
      </c>
      <c r="B66" t="s">
        <v>23</v>
      </c>
      <c r="C66">
        <f>C65+1</f>
        <v>8</v>
      </c>
      <c r="D66" s="2" t="str" cm="1">
        <f t="array" ref="D66">A66&amp;B66&amp;_xlfn.IFS(C66 &lt; 10,"B00"&amp;C66,AND(C66 &gt;= 10,C66 &lt; 100),"B0"&amp;C66,C66 &gt;= 100,"B"&amp;C66)</f>
        <v>SMTB3B008</v>
      </c>
      <c r="E66" t="s">
        <v>31</v>
      </c>
      <c r="F66" s="2" t="str">
        <f>SUBSTITUTE(E66,"DLP"," ")</f>
        <v>Bahasa Semai</v>
      </c>
      <c r="G66" t="s">
        <v>36</v>
      </c>
      <c r="H66" s="2" t="str" cm="1">
        <f t="array" ref="H66">_xlfn.IFS(G66 = "KSSR","Kokurikulum Standard Sekolah Rendah",G66 = "KSSM","Kokurikulum Standard Sekolah Menengah",G66 = "KBDKBT","Kokurikulum Bersepadu Dini dan Kokurikulum Bersepadu Tahfiz",G66 = "SSeM","Sekolah Seni Malaysia",G66 = "KC","Kesusasteraan Cina",G66 = "KSSMPK","Pendidikan Khas",G66 = "MPEI","Mata Pelajaran Elektif Ikhtisas",G66 = "MPET","Mata Pelajaran Elektif Teknikal",G66 = "MPV","Mata Pelajaran Vokasional",G66 = "MPAK","Mata Pelajaran Aliran Kebangsaan")</f>
        <v>Kokurikulum Standard Sekolah Menengah</v>
      </c>
      <c r="I66" t="str" cm="1">
        <f t="array" ref="I66">_xlfn.IFS(A66="SR","Sekolah Rendah",A66="SM","Sekolah Menengah")</f>
        <v>Sekolah Menengah</v>
      </c>
      <c r="J66" s="1" t="str" cm="1">
        <f t="array" ref="J66">_xlfn.SWITCH(B66,"T1","Tahun 1","T2","Tahun 2","T3","Tahun 3","T4","Tahun 4","T5","Tahun 5","T6","Tahun 6","TB1","Tingkatan 1","TB2","Tingkatan 2","TB3","Tingkatan 3","TA4","Tingkatan 4","TA5","Tingkatan 5")</f>
        <v>Tingkatan 3</v>
      </c>
      <c r="K66" t="b">
        <f>IF(COUNTIF(E66,"*DLP*"),TRUE)</f>
        <v>0</v>
      </c>
      <c r="L66" s="2" t="s">
        <v>130</v>
      </c>
    </row>
    <row r="67" spans="1:12" x14ac:dyDescent="0.3">
      <c r="A67" t="s">
        <v>8</v>
      </c>
      <c r="B67" t="s">
        <v>23</v>
      </c>
      <c r="C67">
        <f>C66+1</f>
        <v>9</v>
      </c>
      <c r="D67" s="2" t="str" cm="1">
        <f t="array" ref="D67">A67&amp;B67&amp;_xlfn.IFS(C67 &lt; 10,"B00"&amp;C67,AND(C67 &gt;= 10,C67 &lt; 100),"B0"&amp;C67,C67 &gt;= 100,"B"&amp;C67)</f>
        <v>SMTB3B009</v>
      </c>
      <c r="E67" t="s">
        <v>33</v>
      </c>
      <c r="F67" s="2" t="str">
        <f>SUBSTITUTE(E67,"DLP"," ")</f>
        <v>Bahasa Tamil</v>
      </c>
      <c r="G67" t="s">
        <v>36</v>
      </c>
      <c r="H67" s="2" t="str" cm="1">
        <f t="array" ref="H67">_xlfn.IFS(G67 = "KSSR","Kokurikulum Standard Sekolah Rendah",G67 = "KSSM","Kokurikulum Standard Sekolah Menengah",G67 = "KBDKBT","Kokurikulum Bersepadu Dini dan Kokurikulum Bersepadu Tahfiz",G67 = "SSeM","Sekolah Seni Malaysia",G67 = "KC","Kesusasteraan Cina",G67 = "KSSMPK","Pendidikan Khas",G67 = "MPEI","Mata Pelajaran Elektif Ikhtisas",G67 = "MPET","Mata Pelajaran Elektif Teknikal",G67 = "MPV","Mata Pelajaran Vokasional",G67 = "MPAK","Mata Pelajaran Aliran Kebangsaan")</f>
        <v>Kokurikulum Standard Sekolah Menengah</v>
      </c>
      <c r="I67" t="str" cm="1">
        <f t="array" ref="I67">_xlfn.IFS(A67="SR","Sekolah Rendah",A67="SM","Sekolah Menengah")</f>
        <v>Sekolah Menengah</v>
      </c>
      <c r="J67" s="1" t="str" cm="1">
        <f t="array" ref="J67">_xlfn.SWITCH(B67,"T1","Tahun 1","T2","Tahun 2","T3","Tahun 3","T4","Tahun 4","T5","Tahun 5","T6","Tahun 6","TB1","Tingkatan 1","TB2","Tingkatan 2","TB3","Tingkatan 3","TA4","Tingkatan 4","TA5","Tingkatan 5")</f>
        <v>Tingkatan 3</v>
      </c>
      <c r="K67" t="b">
        <f>IF(COUNTIF(E67,"*DLP*"),TRUE)</f>
        <v>0</v>
      </c>
      <c r="L67" s="2" t="s">
        <v>130</v>
      </c>
    </row>
    <row r="68" spans="1:12" x14ac:dyDescent="0.3">
      <c r="A68" t="s">
        <v>8</v>
      </c>
      <c r="B68" t="s">
        <v>23</v>
      </c>
      <c r="C68">
        <f>C67+1</f>
        <v>10</v>
      </c>
      <c r="D68" s="2" t="str" cm="1">
        <f t="array" ref="D68">A68&amp;B68&amp;_xlfn.IFS(C68 &lt; 10,"B00"&amp;C68,AND(C68 &gt;= 10,C68 &lt; 100),"B0"&amp;C68,C68 &gt;= 100,"B"&amp;C68)</f>
        <v>SMTB3B010</v>
      </c>
      <c r="E68" t="s">
        <v>50</v>
      </c>
      <c r="F68" s="2" t="str">
        <f>SUBSTITUTE(E68,"DLP"," ")</f>
        <v>Close-Up B1 Student's Edition</v>
      </c>
      <c r="G68" t="s">
        <v>36</v>
      </c>
      <c r="H68" s="2" t="str" cm="1">
        <f t="array" ref="H68">_xlfn.IFS(G68 = "KSSR","Kokurikulum Standard Sekolah Rendah",G68 = "KSSM","Kokurikulum Standard Sekolah Menengah",G68 = "KBDKBT","Kokurikulum Bersepadu Dini dan Kokurikulum Bersepadu Tahfiz",G68 = "SSeM","Sekolah Seni Malaysia",G68 = "KC","Kesusasteraan Cina",G68 = "KSSMPK","Pendidikan Khas",G68 = "MPEI","Mata Pelajaran Elektif Ikhtisas",G68 = "MPET","Mata Pelajaran Elektif Teknikal",G68 = "MPV","Mata Pelajaran Vokasional",G68 = "MPAK","Mata Pelajaran Aliran Kebangsaan")</f>
        <v>Kokurikulum Standard Sekolah Menengah</v>
      </c>
      <c r="I68" t="str" cm="1">
        <f t="array" ref="I68">_xlfn.IFS(A68="SR","Sekolah Rendah",A68="SM","Sekolah Menengah")</f>
        <v>Sekolah Menengah</v>
      </c>
      <c r="J68" s="1" t="str" cm="1">
        <f t="array" ref="J68">_xlfn.SWITCH(B68,"T1","Tahun 1","T2","Tahun 2","T3","Tahun 3","T4","Tahun 4","T5","Tahun 5","T6","Tahun 6","TB1","Tingkatan 1","TB2","Tingkatan 2","TB3","Tingkatan 3","TA4","Tingkatan 4","TA5","Tingkatan 5")</f>
        <v>Tingkatan 3</v>
      </c>
      <c r="K68" t="b">
        <f>IF(COUNTIF(E68,"*DLP*"),TRUE)</f>
        <v>0</v>
      </c>
      <c r="L68" s="2" t="s">
        <v>130</v>
      </c>
    </row>
    <row r="69" spans="1:12" x14ac:dyDescent="0.3">
      <c r="A69" t="s">
        <v>8</v>
      </c>
      <c r="B69" t="s">
        <v>23</v>
      </c>
      <c r="C69">
        <f>C68+1</f>
        <v>11</v>
      </c>
      <c r="D69" s="2" t="str" cm="1">
        <f t="array" ref="D69">A69&amp;B69&amp;_xlfn.IFS(C69 &lt; 10,"B00"&amp;C69,AND(C69 &gt;= 10,C69 &lt; 100),"B0"&amp;C69,C69 &gt;= 100,"B"&amp;C69)</f>
        <v>SMTB3B011</v>
      </c>
      <c r="E69" t="s">
        <v>17</v>
      </c>
      <c r="F69" s="2" t="str">
        <f>SUBSTITUTE(E69,"DLP"," ")</f>
        <v>Geografi</v>
      </c>
      <c r="G69" t="s">
        <v>36</v>
      </c>
      <c r="H69" s="2" t="str" cm="1">
        <f t="array" ref="H69">_xlfn.IFS(G69 = "KSSR","Kokurikulum Standard Sekolah Rendah",G69 = "KSSM","Kokurikulum Standard Sekolah Menengah",G69 = "KBDKBT","Kokurikulum Bersepadu Dini dan Kokurikulum Bersepadu Tahfiz",G69 = "SSeM","Sekolah Seni Malaysia",G69 = "KC","Kesusasteraan Cina",G69 = "KSSMPK","Pendidikan Khas",G69 = "MPEI","Mata Pelajaran Elektif Ikhtisas",G69 = "MPET","Mata Pelajaran Elektif Teknikal",G69 = "MPV","Mata Pelajaran Vokasional",G69 = "MPAK","Mata Pelajaran Aliran Kebangsaan")</f>
        <v>Kokurikulum Standard Sekolah Menengah</v>
      </c>
      <c r="I69" t="str" cm="1">
        <f t="array" ref="I69">_xlfn.IFS(A69="SR","Sekolah Rendah",A69="SM","Sekolah Menengah")</f>
        <v>Sekolah Menengah</v>
      </c>
      <c r="J69" s="1" t="str" cm="1">
        <f t="array" ref="J69">_xlfn.SWITCH(B69,"T1","Tahun 1","T2","Tahun 2","T3","Tahun 3","T4","Tahun 4","T5","Tahun 5","T6","Tahun 6","TB1","Tingkatan 1","TB2","Tingkatan 2","TB3","Tingkatan 3","TA4","Tingkatan 4","TA5","Tingkatan 5")</f>
        <v>Tingkatan 3</v>
      </c>
      <c r="K69" t="b">
        <f>IF(COUNTIF(E69,"*DLP*"),TRUE)</f>
        <v>0</v>
      </c>
      <c r="L69" s="2" t="s">
        <v>130</v>
      </c>
    </row>
    <row r="70" spans="1:12" x14ac:dyDescent="0.3">
      <c r="A70" t="s">
        <v>8</v>
      </c>
      <c r="B70" t="s">
        <v>23</v>
      </c>
      <c r="C70">
        <f>C69+1</f>
        <v>12</v>
      </c>
      <c r="D70" s="2" t="str" cm="1">
        <f t="array" ref="D70">A70&amp;B70&amp;_xlfn.IFS(C70 &lt; 10,"B00"&amp;C70,AND(C70 &gt;= 10,C70 &lt; 100),"B0"&amp;C70,C70 &gt;= 100,"B"&amp;C70)</f>
        <v>SMTB3B012</v>
      </c>
      <c r="E70" t="s">
        <v>11</v>
      </c>
      <c r="F70" s="2" t="str">
        <f>SUBSTITUTE(E70,"DLP"," ")</f>
        <v>Matematik</v>
      </c>
      <c r="G70" t="s">
        <v>36</v>
      </c>
      <c r="H70" s="2" t="str" cm="1">
        <f t="array" ref="H70">_xlfn.IFS(G70 = "KSSR","Kokurikulum Standard Sekolah Rendah",G70 = "KSSM","Kokurikulum Standard Sekolah Menengah",G70 = "KBDKBT","Kokurikulum Bersepadu Dini dan Kokurikulum Bersepadu Tahfiz",G70 = "SSeM","Sekolah Seni Malaysia",G70 = "KC","Kesusasteraan Cina",G70 = "KSSMPK","Pendidikan Khas",G70 = "MPEI","Mata Pelajaran Elektif Ikhtisas",G70 = "MPET","Mata Pelajaran Elektif Teknikal",G70 = "MPV","Mata Pelajaran Vokasional",G70 = "MPAK","Mata Pelajaran Aliran Kebangsaan")</f>
        <v>Kokurikulum Standard Sekolah Menengah</v>
      </c>
      <c r="I70" t="str" cm="1">
        <f t="array" ref="I70">_xlfn.IFS(A70="SR","Sekolah Rendah",A70="SM","Sekolah Menengah")</f>
        <v>Sekolah Menengah</v>
      </c>
      <c r="J70" s="1" t="str" cm="1">
        <f t="array" ref="J70">_xlfn.SWITCH(B70,"T1","Tahun 1","T2","Tahun 2","T3","Tahun 3","T4","Tahun 4","T5","Tahun 5","T6","Tahun 6","TB1","Tingkatan 1","TB2","Tingkatan 2","TB3","Tingkatan 3","TA4","Tingkatan 4","TA5","Tingkatan 5")</f>
        <v>Tingkatan 3</v>
      </c>
      <c r="K70" t="b">
        <f>IF(COUNTIF(E70,"*DLP*"),TRUE)</f>
        <v>0</v>
      </c>
      <c r="L70" s="2" t="s">
        <v>130</v>
      </c>
    </row>
    <row r="71" spans="1:12" x14ac:dyDescent="0.3">
      <c r="A71" t="s">
        <v>8</v>
      </c>
      <c r="B71" t="s">
        <v>23</v>
      </c>
      <c r="C71">
        <f>C70+1</f>
        <v>13</v>
      </c>
      <c r="D71" s="2" t="str" cm="1">
        <f t="array" ref="D71">A71&amp;B71&amp;_xlfn.IFS(C71 &lt; 10,"B00"&amp;C71,AND(C71 &gt;= 10,C71 &lt; 100),"B0"&amp;C71,C71 &gt;= 100,"B"&amp;C71)</f>
        <v>SMTB3B013</v>
      </c>
      <c r="E71" t="s">
        <v>14</v>
      </c>
      <c r="F71" s="2" t="str">
        <f>SUBSTITUTE(E71,"DLP"," ")</f>
        <v xml:space="preserve">Mathematics  </v>
      </c>
      <c r="G71" t="s">
        <v>36</v>
      </c>
      <c r="H71" s="2" t="str" cm="1">
        <f t="array" ref="H71">_xlfn.IFS(G71 = "KSSR","Kokurikulum Standard Sekolah Rendah",G71 = "KSSM","Kokurikulum Standard Sekolah Menengah",G71 = "KBDKBT","Kokurikulum Bersepadu Dini dan Kokurikulum Bersepadu Tahfiz",G71 = "SSeM","Sekolah Seni Malaysia",G71 = "KC","Kesusasteraan Cina",G71 = "KSSMPK","Pendidikan Khas",G71 = "MPEI","Mata Pelajaran Elektif Ikhtisas",G71 = "MPET","Mata Pelajaran Elektif Teknikal",G71 = "MPV","Mata Pelajaran Vokasional",G71 = "MPAK","Mata Pelajaran Aliran Kebangsaan")</f>
        <v>Kokurikulum Standard Sekolah Menengah</v>
      </c>
      <c r="I71" t="str" cm="1">
        <f t="array" ref="I71">_xlfn.IFS(A71="SR","Sekolah Rendah",A71="SM","Sekolah Menengah")</f>
        <v>Sekolah Menengah</v>
      </c>
      <c r="J71" s="1" t="str" cm="1">
        <f t="array" ref="J71">_xlfn.SWITCH(B71,"T1","Tahun 1","T2","Tahun 2","T3","Tahun 3","T4","Tahun 4","T5","Tahun 5","T6","Tahun 6","TB1","Tingkatan 1","TB2","Tingkatan 2","TB3","Tingkatan 3","TA4","Tingkatan 4","TA5","Tingkatan 5")</f>
        <v>Tingkatan 3</v>
      </c>
      <c r="K71" t="b">
        <f>IF(COUNTIF(E71,"*DLP*"),TRUE)</f>
        <v>1</v>
      </c>
      <c r="L71" s="2" t="s">
        <v>130</v>
      </c>
    </row>
    <row r="72" spans="1:12" x14ac:dyDescent="0.3">
      <c r="A72" t="s">
        <v>8</v>
      </c>
      <c r="B72" t="s">
        <v>23</v>
      </c>
      <c r="C72">
        <f>C71+1</f>
        <v>14</v>
      </c>
      <c r="D72" s="2" t="str" cm="1">
        <f t="array" ref="D72">A72&amp;B72&amp;_xlfn.IFS(C72 &lt; 10,"B00"&amp;C72,AND(C72 &gt;= 10,C72 &lt; 100),"B0"&amp;C72,C72 &gt;= 100,"B"&amp;C72)</f>
        <v>SMTB3B014</v>
      </c>
      <c r="E72" t="s">
        <v>25</v>
      </c>
      <c r="F72" s="2" t="str">
        <f>SUBSTITUTE(E72,"DLP"," ")</f>
        <v>Pendidikan Islam</v>
      </c>
      <c r="G72" t="s">
        <v>36</v>
      </c>
      <c r="H72" s="2" t="str" cm="1">
        <f t="array" ref="H72">_xlfn.IFS(G72 = "KSSR","Kokurikulum Standard Sekolah Rendah",G72 = "KSSM","Kokurikulum Standard Sekolah Menengah",G72 = "KBDKBT","Kokurikulum Bersepadu Dini dan Kokurikulum Bersepadu Tahfiz",G72 = "SSeM","Sekolah Seni Malaysia",G72 = "KC","Kesusasteraan Cina",G72 = "KSSMPK","Pendidikan Khas",G72 = "MPEI","Mata Pelajaran Elektif Ikhtisas",G72 = "MPET","Mata Pelajaran Elektif Teknikal",G72 = "MPV","Mata Pelajaran Vokasional",G72 = "MPAK","Mata Pelajaran Aliran Kebangsaan")</f>
        <v>Kokurikulum Standard Sekolah Menengah</v>
      </c>
      <c r="I72" t="str" cm="1">
        <f t="array" ref="I72">_xlfn.IFS(A72="SR","Sekolah Rendah",A72="SM","Sekolah Menengah")</f>
        <v>Sekolah Menengah</v>
      </c>
      <c r="J72" s="1" t="str" cm="1">
        <f t="array" ref="J72">_xlfn.SWITCH(B72,"T1","Tahun 1","T2","Tahun 2","T3","Tahun 3","T4","Tahun 4","T5","Tahun 5","T6","Tahun 6","TB1","Tingkatan 1","TB2","Tingkatan 2","TB3","Tingkatan 3","TA4","Tingkatan 4","TA5","Tingkatan 5")</f>
        <v>Tingkatan 3</v>
      </c>
      <c r="K72" t="b">
        <f>IF(COUNTIF(E72,"*DLP*"),TRUE)</f>
        <v>0</v>
      </c>
      <c r="L72" s="2" t="s">
        <v>130</v>
      </c>
    </row>
    <row r="73" spans="1:12" x14ac:dyDescent="0.3">
      <c r="A73" t="s">
        <v>8</v>
      </c>
      <c r="B73" t="s">
        <v>23</v>
      </c>
      <c r="C73">
        <f>C72+1</f>
        <v>15</v>
      </c>
      <c r="D73" s="2" t="str" cm="1">
        <f t="array" ref="D73">A73&amp;B73&amp;_xlfn.IFS(C73 &lt; 10,"B00"&amp;C73,AND(C73 &gt;= 10,C73 &lt; 100),"B0"&amp;C73,C73 &gt;= 100,"B"&amp;C73)</f>
        <v>SMTB3B015</v>
      </c>
      <c r="E73" t="s">
        <v>26</v>
      </c>
      <c r="F73" s="2" t="str">
        <f>SUBSTITUTE(E73,"DLP"," ")</f>
        <v>Pendidikan Jasmani dan Pendidikan Kesihatan</v>
      </c>
      <c r="G73" t="s">
        <v>36</v>
      </c>
      <c r="H73" s="2" t="str" cm="1">
        <f t="array" ref="H73">_xlfn.IFS(G73 = "KSSR","Kokurikulum Standard Sekolah Rendah",G73 = "KSSM","Kokurikulum Standard Sekolah Menengah",G73 = "KBDKBT","Kokurikulum Bersepadu Dini dan Kokurikulum Bersepadu Tahfiz",G73 = "SSeM","Sekolah Seni Malaysia",G73 = "KC","Kesusasteraan Cina",G73 = "KSSMPK","Pendidikan Khas",G73 = "MPEI","Mata Pelajaran Elektif Ikhtisas",G73 = "MPET","Mata Pelajaran Elektif Teknikal",G73 = "MPV","Mata Pelajaran Vokasional",G73 = "MPAK","Mata Pelajaran Aliran Kebangsaan")</f>
        <v>Kokurikulum Standard Sekolah Menengah</v>
      </c>
      <c r="I73" t="str" cm="1">
        <f t="array" ref="I73">_xlfn.IFS(A73="SR","Sekolah Rendah",A73="SM","Sekolah Menengah")</f>
        <v>Sekolah Menengah</v>
      </c>
      <c r="J73" s="1" t="str" cm="1">
        <f t="array" ref="J73">_xlfn.SWITCH(B73,"T1","Tahun 1","T2","Tahun 2","T3","Tahun 3","T4","Tahun 4","T5","Tahun 5","T6","Tahun 6","TB1","Tingkatan 1","TB2","Tingkatan 2","TB3","Tingkatan 3","TA4","Tingkatan 4","TA5","Tingkatan 5")</f>
        <v>Tingkatan 3</v>
      </c>
      <c r="K73" t="b">
        <f>IF(COUNTIF(E73,"*DLP*"),TRUE)</f>
        <v>0</v>
      </c>
      <c r="L73" s="2" t="s">
        <v>130</v>
      </c>
    </row>
    <row r="74" spans="1:12" x14ac:dyDescent="0.3">
      <c r="A74" t="s">
        <v>8</v>
      </c>
      <c r="B74" t="s">
        <v>23</v>
      </c>
      <c r="C74">
        <f>C73+1</f>
        <v>16</v>
      </c>
      <c r="D74" s="2" t="str" cm="1">
        <f t="array" ref="D74">A74&amp;B74&amp;_xlfn.IFS(C74 &lt; 10,"B00"&amp;C74,AND(C74 &gt;= 10,C74 &lt; 100),"B0"&amp;C74,C74 &gt;= 100,"B"&amp;C74)</f>
        <v>SMTB3B016</v>
      </c>
      <c r="E74" t="s">
        <v>27</v>
      </c>
      <c r="F74" s="2" t="str">
        <f>SUBSTITUTE(E74,"DLP"," ")</f>
        <v>Pendidikan Moral</v>
      </c>
      <c r="G74" t="s">
        <v>36</v>
      </c>
      <c r="H74" s="2" t="str" cm="1">
        <f t="array" ref="H74">_xlfn.IFS(G74 = "KSSR","Kokurikulum Standard Sekolah Rendah",G74 = "KSSM","Kokurikulum Standard Sekolah Menengah",G74 = "KBDKBT","Kokurikulum Bersepadu Dini dan Kokurikulum Bersepadu Tahfiz",G74 = "SSeM","Sekolah Seni Malaysia",G74 = "KC","Kesusasteraan Cina",G74 = "KSSMPK","Pendidikan Khas",G74 = "MPEI","Mata Pelajaran Elektif Ikhtisas",G74 = "MPET","Mata Pelajaran Elektif Teknikal",G74 = "MPV","Mata Pelajaran Vokasional",G74 = "MPAK","Mata Pelajaran Aliran Kebangsaan")</f>
        <v>Kokurikulum Standard Sekolah Menengah</v>
      </c>
      <c r="I74" t="str" cm="1">
        <f t="array" ref="I74">_xlfn.IFS(A74="SR","Sekolah Rendah",A74="SM","Sekolah Menengah")</f>
        <v>Sekolah Menengah</v>
      </c>
      <c r="J74" s="1" t="str" cm="1">
        <f t="array" ref="J74">_xlfn.SWITCH(B74,"T1","Tahun 1","T2","Tahun 2","T3","Tahun 3","T4","Tahun 4","T5","Tahun 5","T6","Tahun 6","TB1","Tingkatan 1","TB2","Tingkatan 2","TB3","Tingkatan 3","TA4","Tingkatan 4","TA5","Tingkatan 5")</f>
        <v>Tingkatan 3</v>
      </c>
      <c r="K74" t="b">
        <f>IF(COUNTIF(E74,"*DLP*"),TRUE)</f>
        <v>0</v>
      </c>
      <c r="L74" s="2" t="s">
        <v>130</v>
      </c>
    </row>
    <row r="75" spans="1:12" x14ac:dyDescent="0.3">
      <c r="A75" t="s">
        <v>8</v>
      </c>
      <c r="B75" t="s">
        <v>23</v>
      </c>
      <c r="C75">
        <f>C74+1</f>
        <v>17</v>
      </c>
      <c r="D75" s="2" t="str" cm="1">
        <f t="array" ref="D75">A75&amp;B75&amp;_xlfn.IFS(C75 &lt; 10,"B00"&amp;C75,AND(C75 &gt;= 10,C75 &lt; 100),"B0"&amp;C75,C75 &gt;= 100,"B"&amp;C75)</f>
        <v>SMTB3B017</v>
      </c>
      <c r="E75" t="s">
        <v>47</v>
      </c>
      <c r="F75" s="2" t="str">
        <f>SUBSTITUTE(E75,"DLP"," ")</f>
        <v>Pendidikan Muzik</v>
      </c>
      <c r="G75" t="s">
        <v>36</v>
      </c>
      <c r="H75" s="2" t="str" cm="1">
        <f t="array" ref="H75">_xlfn.IFS(G75 = "KSSR","Kokurikulum Standard Sekolah Rendah",G75 = "KSSM","Kokurikulum Standard Sekolah Menengah",G75 = "KBDKBT","Kokurikulum Bersepadu Dini dan Kokurikulum Bersepadu Tahfiz",G75 = "SSeM","Sekolah Seni Malaysia",G75 = "KC","Kesusasteraan Cina",G75 = "KSSMPK","Pendidikan Khas",G75 = "MPEI","Mata Pelajaran Elektif Ikhtisas",G75 = "MPET","Mata Pelajaran Elektif Teknikal",G75 = "MPV","Mata Pelajaran Vokasional",G75 = "MPAK","Mata Pelajaran Aliran Kebangsaan")</f>
        <v>Kokurikulum Standard Sekolah Menengah</v>
      </c>
      <c r="I75" t="str" cm="1">
        <f t="array" ref="I75">_xlfn.IFS(A75="SR","Sekolah Rendah",A75="SM","Sekolah Menengah")</f>
        <v>Sekolah Menengah</v>
      </c>
      <c r="J75" s="1" t="str" cm="1">
        <f t="array" ref="J75">_xlfn.SWITCH(B75,"T1","Tahun 1","T2","Tahun 2","T3","Tahun 3","T4","Tahun 4","T5","Tahun 5","T6","Tahun 6","TB1","Tingkatan 1","TB2","Tingkatan 2","TB3","Tingkatan 3","TA4","Tingkatan 4","TA5","Tingkatan 5")</f>
        <v>Tingkatan 3</v>
      </c>
      <c r="K75" t="b">
        <f>IF(COUNTIF(E75,"*DLP*"),TRUE)</f>
        <v>0</v>
      </c>
      <c r="L75" s="2" t="s">
        <v>130</v>
      </c>
    </row>
    <row r="76" spans="1:12" x14ac:dyDescent="0.3">
      <c r="A76" t="s">
        <v>8</v>
      </c>
      <c r="B76" t="s">
        <v>23</v>
      </c>
      <c r="C76">
        <f>C75+1</f>
        <v>18</v>
      </c>
      <c r="D76" s="2" t="str" cm="1">
        <f t="array" ref="D76">A76&amp;B76&amp;_xlfn.IFS(C76 &lt; 10,"B00"&amp;C76,AND(C76 &gt;= 10,C76 &lt; 100),"B0"&amp;C76,C76 &gt;= 100,"B"&amp;C76)</f>
        <v>SMTB3B018</v>
      </c>
      <c r="E76" t="s">
        <v>24</v>
      </c>
      <c r="F76" s="2" t="str">
        <f>SUBSTITUTE(E76,"DLP"," ")</f>
        <v>Pendidikan Seni Visual</v>
      </c>
      <c r="G76" t="s">
        <v>36</v>
      </c>
      <c r="H76" s="2" t="str" cm="1">
        <f t="array" ref="H76">_xlfn.IFS(G76 = "KSSR","Kokurikulum Standard Sekolah Rendah",G76 = "KSSM","Kokurikulum Standard Sekolah Menengah",G76 = "KBDKBT","Kokurikulum Bersepadu Dini dan Kokurikulum Bersepadu Tahfiz",G76 = "SSeM","Sekolah Seni Malaysia",G76 = "KC","Kesusasteraan Cina",G76 = "KSSMPK","Pendidikan Khas",G76 = "MPEI","Mata Pelajaran Elektif Ikhtisas",G76 = "MPET","Mata Pelajaran Elektif Teknikal",G76 = "MPV","Mata Pelajaran Vokasional",G76 = "MPAK","Mata Pelajaran Aliran Kebangsaan")</f>
        <v>Kokurikulum Standard Sekolah Menengah</v>
      </c>
      <c r="I76" t="str" cm="1">
        <f t="array" ref="I76">_xlfn.IFS(A76="SR","Sekolah Rendah",A76="SM","Sekolah Menengah")</f>
        <v>Sekolah Menengah</v>
      </c>
      <c r="J76" s="1" t="str" cm="1">
        <f t="array" ref="J76">_xlfn.SWITCH(B76,"T1","Tahun 1","T2","Tahun 2","T3","Tahun 3","T4","Tahun 4","T5","Tahun 5","T6","Tahun 6","TB1","Tingkatan 1","TB2","Tingkatan 2","TB3","Tingkatan 3","TA4","Tingkatan 4","TA5","Tingkatan 5")</f>
        <v>Tingkatan 3</v>
      </c>
      <c r="K76" t="b">
        <f>IF(COUNTIF(E76,"*DLP*"),TRUE)</f>
        <v>0</v>
      </c>
      <c r="L76" s="2" t="s">
        <v>130</v>
      </c>
    </row>
    <row r="77" spans="1:12" x14ac:dyDescent="0.3">
      <c r="A77" t="s">
        <v>8</v>
      </c>
      <c r="B77" t="s">
        <v>23</v>
      </c>
      <c r="C77">
        <f>C76+1</f>
        <v>19</v>
      </c>
      <c r="D77" s="2" t="str" cm="1">
        <f t="array" ref="D77">A77&amp;B77&amp;_xlfn.IFS(C77 &lt; 10,"B00"&amp;C77,AND(C77 &gt;= 10,C77 &lt; 100),"B0"&amp;C77,C77 &gt;= 100,"B"&amp;C77)</f>
        <v>SMTB3B019</v>
      </c>
      <c r="E77" t="s">
        <v>19</v>
      </c>
      <c r="F77" s="2" t="str">
        <f>SUBSTITUTE(E77,"DLP"," ")</f>
        <v>Reka Bentuk dan Teknologi</v>
      </c>
      <c r="G77" t="s">
        <v>36</v>
      </c>
      <c r="H77" s="2" t="str" cm="1">
        <f t="array" ref="H77">_xlfn.IFS(G77 = "KSSR","Kokurikulum Standard Sekolah Rendah",G77 = "KSSM","Kokurikulum Standard Sekolah Menengah",G77 = "KBDKBT","Kokurikulum Bersepadu Dini dan Kokurikulum Bersepadu Tahfiz",G77 = "SSeM","Sekolah Seni Malaysia",G77 = "KC","Kesusasteraan Cina",G77 = "KSSMPK","Pendidikan Khas",G77 = "MPEI","Mata Pelajaran Elektif Ikhtisas",G77 = "MPET","Mata Pelajaran Elektif Teknikal",G77 = "MPV","Mata Pelajaran Vokasional",G77 = "MPAK","Mata Pelajaran Aliran Kebangsaan")</f>
        <v>Kokurikulum Standard Sekolah Menengah</v>
      </c>
      <c r="I77" t="str" cm="1">
        <f t="array" ref="I77">_xlfn.IFS(A77="SR","Sekolah Rendah",A77="SM","Sekolah Menengah")</f>
        <v>Sekolah Menengah</v>
      </c>
      <c r="J77" s="1" t="str" cm="1">
        <f t="array" ref="J77">_xlfn.SWITCH(B77,"T1","Tahun 1","T2","Tahun 2","T3","Tahun 3","T4","Tahun 4","T5","Tahun 5","T6","Tahun 6","TB1","Tingkatan 1","TB2","Tingkatan 2","TB3","Tingkatan 3","TA4","Tingkatan 4","TA5","Tingkatan 5")</f>
        <v>Tingkatan 3</v>
      </c>
      <c r="K77" t="b">
        <f>IF(COUNTIF(E77,"*DLP*"),TRUE)</f>
        <v>0</v>
      </c>
      <c r="L77" s="2" t="s">
        <v>130</v>
      </c>
    </row>
    <row r="78" spans="1:12" x14ac:dyDescent="0.3">
      <c r="A78" t="s">
        <v>8</v>
      </c>
      <c r="B78" t="s">
        <v>23</v>
      </c>
      <c r="C78">
        <f>C77+1</f>
        <v>20</v>
      </c>
      <c r="D78" s="2" t="str" cm="1">
        <f t="array" ref="D78">A78&amp;B78&amp;_xlfn.IFS(C78 &lt; 10,"B00"&amp;C78,AND(C78 &gt;= 10,C78 &lt; 100),"B0"&amp;C78,C78 &gt;= 100,"B"&amp;C78)</f>
        <v>SMTB3B020</v>
      </c>
      <c r="E78" t="s">
        <v>13</v>
      </c>
      <c r="F78" s="2" t="str">
        <f>SUBSTITUTE(E78,"DLP"," ")</f>
        <v>Sains</v>
      </c>
      <c r="G78" t="s">
        <v>36</v>
      </c>
      <c r="H78" s="2" t="str" cm="1">
        <f t="array" ref="H78">_xlfn.IFS(G78 = "KSSR","Kokurikulum Standard Sekolah Rendah",G78 = "KSSM","Kokurikulum Standard Sekolah Menengah",G78 = "KBDKBT","Kokurikulum Bersepadu Dini dan Kokurikulum Bersepadu Tahfiz",G78 = "SSeM","Sekolah Seni Malaysia",G78 = "KC","Kesusasteraan Cina",G78 = "KSSMPK","Pendidikan Khas",G78 = "MPEI","Mata Pelajaran Elektif Ikhtisas",G78 = "MPET","Mata Pelajaran Elektif Teknikal",G78 = "MPV","Mata Pelajaran Vokasional",G78 = "MPAK","Mata Pelajaran Aliran Kebangsaan")</f>
        <v>Kokurikulum Standard Sekolah Menengah</v>
      </c>
      <c r="I78" t="str" cm="1">
        <f t="array" ref="I78">_xlfn.IFS(A78="SR","Sekolah Rendah",A78="SM","Sekolah Menengah")</f>
        <v>Sekolah Menengah</v>
      </c>
      <c r="J78" s="1" t="str" cm="1">
        <f t="array" ref="J78">_xlfn.SWITCH(B78,"T1","Tahun 1","T2","Tahun 2","T3","Tahun 3","T4","Tahun 4","T5","Tahun 5","T6","Tahun 6","TB1","Tingkatan 1","TB2","Tingkatan 2","TB3","Tingkatan 3","TA4","Tingkatan 4","TA5","Tingkatan 5")</f>
        <v>Tingkatan 3</v>
      </c>
      <c r="K78" t="b">
        <f>IF(COUNTIF(E78,"*DLP*"),TRUE)</f>
        <v>0</v>
      </c>
      <c r="L78" s="2" t="s">
        <v>130</v>
      </c>
    </row>
    <row r="79" spans="1:12" x14ac:dyDescent="0.3">
      <c r="A79" t="s">
        <v>8</v>
      </c>
      <c r="B79" t="s">
        <v>23</v>
      </c>
      <c r="C79">
        <f>C78+1</f>
        <v>21</v>
      </c>
      <c r="D79" s="2" t="str" cm="1">
        <f t="array" ref="D79">A79&amp;B79&amp;_xlfn.IFS(C79 &lt; 10,"B00"&amp;C79,AND(C79 &gt;= 10,C79 &lt; 100),"B0"&amp;C79,C79 &gt;= 100,"B"&amp;C79)</f>
        <v>SMTB3B021</v>
      </c>
      <c r="E79" t="s">
        <v>16</v>
      </c>
      <c r="F79" s="2" t="str">
        <f>SUBSTITUTE(E79,"DLP"," ")</f>
        <v xml:space="preserve">Science  </v>
      </c>
      <c r="G79" t="s">
        <v>36</v>
      </c>
      <c r="H79" s="2" t="str" cm="1">
        <f t="array" ref="H79">_xlfn.IFS(G79 = "KSSR","Kokurikulum Standard Sekolah Rendah",G79 = "KSSM","Kokurikulum Standard Sekolah Menengah",G79 = "KBDKBT","Kokurikulum Bersepadu Dini dan Kokurikulum Bersepadu Tahfiz",G79 = "SSeM","Sekolah Seni Malaysia",G79 = "KC","Kesusasteraan Cina",G79 = "KSSMPK","Pendidikan Khas",G79 = "MPEI","Mata Pelajaran Elektif Ikhtisas",G79 = "MPET","Mata Pelajaran Elektif Teknikal",G79 = "MPV","Mata Pelajaran Vokasional",G79 = "MPAK","Mata Pelajaran Aliran Kebangsaan")</f>
        <v>Kokurikulum Standard Sekolah Menengah</v>
      </c>
      <c r="I79" t="str" cm="1">
        <f t="array" ref="I79">_xlfn.IFS(A79="SR","Sekolah Rendah",A79="SM","Sekolah Menengah")</f>
        <v>Sekolah Menengah</v>
      </c>
      <c r="J79" s="1" t="str" cm="1">
        <f t="array" ref="J79">_xlfn.SWITCH(B79,"T1","Tahun 1","T2","Tahun 2","T3","Tahun 3","T4","Tahun 4","T5","Tahun 5","T6","Tahun 6","TB1","Tingkatan 1","TB2","Tingkatan 2","TB3","Tingkatan 3","TA4","Tingkatan 4","TA5","Tingkatan 5")</f>
        <v>Tingkatan 3</v>
      </c>
      <c r="K79" t="b">
        <f>IF(COUNTIF(E79,"*DLP*"),TRUE)</f>
        <v>1</v>
      </c>
      <c r="L79" s="2" t="s">
        <v>130</v>
      </c>
    </row>
    <row r="80" spans="1:12" x14ac:dyDescent="0.3">
      <c r="A80" t="s">
        <v>8</v>
      </c>
      <c r="B80" t="s">
        <v>23</v>
      </c>
      <c r="C80">
        <f>C79+1</f>
        <v>22</v>
      </c>
      <c r="D80" s="2" t="str" cm="1">
        <f t="array" ref="D80">A80&amp;B80&amp;_xlfn.IFS(C80 &lt; 10,"B00"&amp;C80,AND(C80 &gt;= 10,C80 &lt; 100),"B0"&amp;C80,C80 &gt;= 100,"B"&amp;C80)</f>
        <v>SMTB3B022</v>
      </c>
      <c r="E80" t="s">
        <v>18</v>
      </c>
      <c r="F80" s="2" t="str">
        <f>SUBSTITUTE(E80,"DLP"," ")</f>
        <v>Sejarah</v>
      </c>
      <c r="G80" t="s">
        <v>36</v>
      </c>
      <c r="H80" s="2" t="str" cm="1">
        <f t="array" ref="H80">_xlfn.IFS(G80 = "KSSR","Kokurikulum Standard Sekolah Rendah",G80 = "KSSM","Kokurikulum Standard Sekolah Menengah",G80 = "KBDKBT","Kokurikulum Bersepadu Dini dan Kokurikulum Bersepadu Tahfiz",G80 = "SSeM","Sekolah Seni Malaysia",G80 = "KC","Kesusasteraan Cina",G80 = "KSSMPK","Pendidikan Khas",G80 = "MPEI","Mata Pelajaran Elektif Ikhtisas",G80 = "MPET","Mata Pelajaran Elektif Teknikal",G80 = "MPV","Mata Pelajaran Vokasional",G80 = "MPAK","Mata Pelajaran Aliran Kebangsaan")</f>
        <v>Kokurikulum Standard Sekolah Menengah</v>
      </c>
      <c r="I80" t="str" cm="1">
        <f t="array" ref="I80">_xlfn.IFS(A80="SR","Sekolah Rendah",A80="SM","Sekolah Menengah")</f>
        <v>Sekolah Menengah</v>
      </c>
      <c r="J80" s="1" t="str" cm="1">
        <f t="array" ref="J80">_xlfn.SWITCH(B80,"T1","Tahun 1","T2","Tahun 2","T3","Tahun 3","T4","Tahun 4","T5","Tahun 5","T6","Tahun 6","TB1","Tingkatan 1","TB2","Tingkatan 2","TB3","Tingkatan 3","TA4","Tingkatan 4","TA5","Tingkatan 5")</f>
        <v>Tingkatan 3</v>
      </c>
      <c r="K80" t="b">
        <f>IF(COUNTIF(E80,"*DLP*"),TRUE)</f>
        <v>0</v>
      </c>
      <c r="L80" s="2" t="s">
        <v>130</v>
      </c>
    </row>
    <row r="81" spans="1:12" x14ac:dyDescent="0.3">
      <c r="A81" t="s">
        <v>8</v>
      </c>
      <c r="B81" t="s">
        <v>23</v>
      </c>
      <c r="C81">
        <f>C80+1</f>
        <v>23</v>
      </c>
      <c r="D81" s="2" t="str" cm="1">
        <f t="array" ref="D81">A81&amp;B81&amp;_xlfn.IFS(C81 &lt; 10,"B00"&amp;C81,AND(C81 &gt;= 10,C81 &lt; 100),"B0"&amp;C81,C81 &gt;= 100,"B"&amp;C81)</f>
        <v>SMTB3B023</v>
      </c>
      <c r="E81" t="s">
        <v>49</v>
      </c>
      <c r="F81" s="2" t="str">
        <f>SUBSTITUTE(E81,"DLP"," ")</f>
        <v>Al-Lughah Al-Arabiah Al-Muasirah</v>
      </c>
      <c r="G81" t="s">
        <v>38</v>
      </c>
      <c r="H81" s="2" t="str" cm="1">
        <f t="array" ref="H81">_xlfn.IFS(G81 = "KSSR","Kokurikulum Standard Sekolah Rendah",G81 = "KSSM","Kokurikulum Standard Sekolah Menengah",G81 = "KBDKBT","Kokurikulum Bersepadu Dini dan Kokurikulum Bersepadu Tahfiz",G81 = "SSeM","Sekolah Seni Malaysia",G81 = "KC","Kesusasteraan Cina",G81 = "KSSMPK","Pendidikan Khas",G81 = "MPEI","Mata Pelajaran Elektif Ikhtisas",G81 = "MPET","Mata Pelajaran Elektif Teknikal",G81 = "MPV","Mata Pelajaran Vokasional",G81 = "MPAK","Mata Pelajaran Aliran Kebangsaan")</f>
        <v>Kokurikulum Bersepadu Dini dan Kokurikulum Bersepadu Tahfiz</v>
      </c>
      <c r="I81" t="str" cm="1">
        <f t="array" ref="I81">_xlfn.IFS(A81="SR","Sekolah Rendah",A81="SM","Sekolah Menengah")</f>
        <v>Sekolah Menengah</v>
      </c>
      <c r="J81" s="1" t="str" cm="1">
        <f t="array" ref="J81">_xlfn.SWITCH(B81,"T1","Tahun 1","T2","Tahun 2","T3","Tahun 3","T4","Tahun 4","T5","Tahun 5","T6","Tahun 6","TB1","Tingkatan 1","TB2","Tingkatan 2","TB3","Tingkatan 3","TA4","Tingkatan 4","TA5","Tingkatan 5")</f>
        <v>Tingkatan 3</v>
      </c>
      <c r="K81" t="b">
        <f>IF(COUNTIF(E81,"*DLP*"),TRUE)</f>
        <v>0</v>
      </c>
      <c r="L81" s="2" t="s">
        <v>130</v>
      </c>
    </row>
    <row r="82" spans="1:12" x14ac:dyDescent="0.3">
      <c r="A82" t="s">
        <v>8</v>
      </c>
      <c r="B82" t="s">
        <v>23</v>
      </c>
      <c r="C82">
        <f>C81+1</f>
        <v>24</v>
      </c>
      <c r="D82" s="2" t="str" cm="1">
        <f t="array" ref="D82">A82&amp;B82&amp;_xlfn.IFS(C82 &lt; 10,"B00"&amp;C82,AND(C82 &gt;= 10,C82 &lt; 100),"B0"&amp;C82,C82 &gt;= 100,"B"&amp;C82)</f>
        <v>SMTB3B024</v>
      </c>
      <c r="E82" t="s">
        <v>37</v>
      </c>
      <c r="F82" s="2" t="str">
        <f>SUBSTITUTE(E82,"DLP"," ")</f>
        <v>Al-Syariah</v>
      </c>
      <c r="G82" t="s">
        <v>38</v>
      </c>
      <c r="H82" s="2" t="str" cm="1">
        <f t="array" ref="H82">_xlfn.IFS(G82 = "KSSR","Kokurikulum Standard Sekolah Rendah",G82 = "KSSM","Kokurikulum Standard Sekolah Menengah",G82 = "KBDKBT","Kokurikulum Bersepadu Dini dan Kokurikulum Bersepadu Tahfiz",G82 = "SSeM","Sekolah Seni Malaysia",G82 = "KC","Kesusasteraan Cina",G82 = "KSSMPK","Pendidikan Khas",G82 = "MPEI","Mata Pelajaran Elektif Ikhtisas",G82 = "MPET","Mata Pelajaran Elektif Teknikal",G82 = "MPV","Mata Pelajaran Vokasional",G82 = "MPAK","Mata Pelajaran Aliran Kebangsaan")</f>
        <v>Kokurikulum Bersepadu Dini dan Kokurikulum Bersepadu Tahfiz</v>
      </c>
      <c r="I82" t="str" cm="1">
        <f t="array" ref="I82">_xlfn.IFS(A82="SR","Sekolah Rendah",A82="SM","Sekolah Menengah")</f>
        <v>Sekolah Menengah</v>
      </c>
      <c r="J82" s="1" t="str" cm="1">
        <f t="array" ref="J82">_xlfn.SWITCH(B82,"T1","Tahun 1","T2","Tahun 2","T3","Tahun 3","T4","Tahun 4","T5","Tahun 5","T6","Tahun 6","TB1","Tingkatan 1","TB2","Tingkatan 2","TB3","Tingkatan 3","TA4","Tingkatan 4","TA5","Tingkatan 5")</f>
        <v>Tingkatan 3</v>
      </c>
      <c r="K82" t="b">
        <f>IF(COUNTIF(E82,"*DLP*"),TRUE)</f>
        <v>0</v>
      </c>
      <c r="L82" s="2" t="s">
        <v>130</v>
      </c>
    </row>
    <row r="83" spans="1:12" x14ac:dyDescent="0.3">
      <c r="A83" t="s">
        <v>8</v>
      </c>
      <c r="B83" t="s">
        <v>23</v>
      </c>
      <c r="C83">
        <f>C82+1</f>
        <v>25</v>
      </c>
      <c r="D83" s="2" t="str" cm="1">
        <f t="array" ref="D83">A83&amp;B83&amp;_xlfn.IFS(C83 &lt; 10,"B00"&amp;C83,AND(C83 &gt;= 10,C83 &lt; 100),"B0"&amp;C83,C83 &gt;= 100,"B"&amp;C83)</f>
        <v>SMTB3B025</v>
      </c>
      <c r="E83" t="s">
        <v>40</v>
      </c>
      <c r="F83" s="2" t="str">
        <f>SUBSTITUTE(E83,"DLP"," ")</f>
        <v>Daftar Hifz Al-Quran</v>
      </c>
      <c r="G83" t="s">
        <v>38</v>
      </c>
      <c r="H83" s="2" t="str" cm="1">
        <f t="array" ref="H83">_xlfn.IFS(G83 = "KSSR","Kokurikulum Standard Sekolah Rendah",G83 = "KSSM","Kokurikulum Standard Sekolah Menengah",G83 = "KBDKBT","Kokurikulum Bersepadu Dini dan Kokurikulum Bersepadu Tahfiz",G83 = "SSeM","Sekolah Seni Malaysia",G83 = "KC","Kesusasteraan Cina",G83 = "KSSMPK","Pendidikan Khas",G83 = "MPEI","Mata Pelajaran Elektif Ikhtisas",G83 = "MPET","Mata Pelajaran Elektif Teknikal",G83 = "MPV","Mata Pelajaran Vokasional",G83 = "MPAK","Mata Pelajaran Aliran Kebangsaan")</f>
        <v>Kokurikulum Bersepadu Dini dan Kokurikulum Bersepadu Tahfiz</v>
      </c>
      <c r="I83" t="str" cm="1">
        <f t="array" ref="I83">_xlfn.IFS(A83="SR","Sekolah Rendah",A83="SM","Sekolah Menengah")</f>
        <v>Sekolah Menengah</v>
      </c>
      <c r="J83" s="1" t="str" cm="1">
        <f t="array" ref="J83">_xlfn.SWITCH(B83,"T1","Tahun 1","T2","Tahun 2","T3","Tahun 3","T4","Tahun 4","T5","Tahun 5","T6","Tahun 6","TB1","Tingkatan 1","TB2","Tingkatan 2","TB3","Tingkatan 3","TA4","Tingkatan 4","TA5","Tingkatan 5")</f>
        <v>Tingkatan 3</v>
      </c>
      <c r="K83" t="b">
        <f>IF(COUNTIF(E83,"*DLP*"),TRUE)</f>
        <v>0</v>
      </c>
      <c r="L83" s="2" t="s">
        <v>130</v>
      </c>
    </row>
    <row r="84" spans="1:12" x14ac:dyDescent="0.3">
      <c r="A84" t="s">
        <v>8</v>
      </c>
      <c r="B84" t="s">
        <v>23</v>
      </c>
      <c r="C84">
        <f>C83+1</f>
        <v>26</v>
      </c>
      <c r="D84" s="2" t="str" cm="1">
        <f t="array" ref="D84">A84&amp;B84&amp;_xlfn.IFS(C84 &lt; 10,"B00"&amp;C84,AND(C84 &gt;= 10,C84 &lt; 100),"B0"&amp;C84,C84 &gt;= 100,"B"&amp;C84)</f>
        <v>SMTB3B026</v>
      </c>
      <c r="E84" t="s">
        <v>41</v>
      </c>
      <c r="F84" s="2" t="str">
        <f>SUBSTITUTE(E84,"DLP"," ")</f>
        <v>Maharat Al-Quran</v>
      </c>
      <c r="G84" t="s">
        <v>38</v>
      </c>
      <c r="H84" s="2" t="str" cm="1">
        <f t="array" ref="H84">_xlfn.IFS(G84 = "KSSR","Kokurikulum Standard Sekolah Rendah",G84 = "KSSM","Kokurikulum Standard Sekolah Menengah",G84 = "KBDKBT","Kokurikulum Bersepadu Dini dan Kokurikulum Bersepadu Tahfiz",G84 = "SSeM","Sekolah Seni Malaysia",G84 = "KC","Kesusasteraan Cina",G84 = "KSSMPK","Pendidikan Khas",G84 = "MPEI","Mata Pelajaran Elektif Ikhtisas",G84 = "MPET","Mata Pelajaran Elektif Teknikal",G84 = "MPV","Mata Pelajaran Vokasional",G84 = "MPAK","Mata Pelajaran Aliran Kebangsaan")</f>
        <v>Kokurikulum Bersepadu Dini dan Kokurikulum Bersepadu Tahfiz</v>
      </c>
      <c r="I84" t="str" cm="1">
        <f t="array" ref="I84">_xlfn.IFS(A84="SR","Sekolah Rendah",A84="SM","Sekolah Menengah")</f>
        <v>Sekolah Menengah</v>
      </c>
      <c r="J84" s="1" t="str" cm="1">
        <f t="array" ref="J84">_xlfn.SWITCH(B84,"T1","Tahun 1","T2","Tahun 2","T3","Tahun 3","T4","Tahun 4","T5","Tahun 5","T6","Tahun 6","TB1","Tingkatan 1","TB2","Tingkatan 2","TB3","Tingkatan 3","TA4","Tingkatan 4","TA5","Tingkatan 5")</f>
        <v>Tingkatan 3</v>
      </c>
      <c r="K84" t="b">
        <f>IF(COUNTIF(E84,"*DLP*"),TRUE)</f>
        <v>0</v>
      </c>
      <c r="L84" s="2" t="s">
        <v>130</v>
      </c>
    </row>
    <row r="85" spans="1:12" x14ac:dyDescent="0.3">
      <c r="A85" t="s">
        <v>8</v>
      </c>
      <c r="B85" t="s">
        <v>23</v>
      </c>
      <c r="C85">
        <f>C84+1</f>
        <v>27</v>
      </c>
      <c r="D85" s="2" t="str" cm="1">
        <f t="array" ref="D85">A85&amp;B85&amp;_xlfn.IFS(C85 &lt; 10,"B00"&amp;C85,AND(C85 &gt;= 10,C85 &lt; 100),"B0"&amp;C85,C85 &gt;= 100,"B"&amp;C85)</f>
        <v>SMTB3B027</v>
      </c>
      <c r="E85" t="s">
        <v>39</v>
      </c>
      <c r="F85" s="2" t="str">
        <f>SUBSTITUTE(E85,"DLP"," ")</f>
        <v>Usul Al-Din</v>
      </c>
      <c r="G85" t="s">
        <v>38</v>
      </c>
      <c r="H85" s="2" t="str" cm="1">
        <f t="array" ref="H85">_xlfn.IFS(G85 = "KSSR","Kokurikulum Standard Sekolah Rendah",G85 = "KSSM","Kokurikulum Standard Sekolah Menengah",G85 = "KBDKBT","Kokurikulum Bersepadu Dini dan Kokurikulum Bersepadu Tahfiz",G85 = "SSeM","Sekolah Seni Malaysia",G85 = "KC","Kesusasteraan Cina",G85 = "KSSMPK","Pendidikan Khas",G85 = "MPEI","Mata Pelajaran Elektif Ikhtisas",G85 = "MPET","Mata Pelajaran Elektif Teknikal",G85 = "MPV","Mata Pelajaran Vokasional",G85 = "MPAK","Mata Pelajaran Aliran Kebangsaan")</f>
        <v>Kokurikulum Bersepadu Dini dan Kokurikulum Bersepadu Tahfiz</v>
      </c>
      <c r="I85" t="str" cm="1">
        <f t="array" ref="I85">_xlfn.IFS(A85="SR","Sekolah Rendah",A85="SM","Sekolah Menengah")</f>
        <v>Sekolah Menengah</v>
      </c>
      <c r="J85" s="1" t="str" cm="1">
        <f t="array" ref="J85">_xlfn.SWITCH(B85,"T1","Tahun 1","T2","Tahun 2","T3","Tahun 3","T4","Tahun 4","T5","Tahun 5","T6","Tahun 6","TB1","Tingkatan 1","TB2","Tingkatan 2","TB3","Tingkatan 3","TA4","Tingkatan 4","TA5","Tingkatan 5")</f>
        <v>Tingkatan 3</v>
      </c>
      <c r="K85" t="b">
        <f>IF(COUNTIF(E85,"*DLP*"),TRUE)</f>
        <v>0</v>
      </c>
      <c r="L85" s="2" t="s">
        <v>130</v>
      </c>
    </row>
    <row r="86" spans="1:12" x14ac:dyDescent="0.3">
      <c r="A86" t="s">
        <v>8</v>
      </c>
      <c r="B86" t="s">
        <v>23</v>
      </c>
      <c r="C86">
        <f>C85+1</f>
        <v>28</v>
      </c>
      <c r="D86" s="2" t="str" cm="1">
        <f t="array" ref="D86">A86&amp;B86&amp;_xlfn.IFS(C86 &lt; 10,"B00"&amp;C86,AND(C86 &gt;= 10,C86 &lt; 100),"B0"&amp;C86,C86 &gt;= 100,"B"&amp;C86)</f>
        <v>SMTB3B028</v>
      </c>
      <c r="E86" t="s">
        <v>42</v>
      </c>
      <c r="F86" s="2" t="str">
        <f>SUBSTITUTE(E86,"DLP"," ")</f>
        <v>Seni Muzik</v>
      </c>
      <c r="G86" t="s">
        <v>46</v>
      </c>
      <c r="H86" s="2" t="str" cm="1">
        <f t="array" ref="H86">_xlfn.IFS(G86 = "KSSR","Kokurikulum Standard Sekolah Rendah",G86 = "KSSM","Kokurikulum Standard Sekolah Menengah",G86 = "KBDKBT","Kokurikulum Bersepadu Dini dan Kokurikulum Bersepadu Tahfiz",G86 = "SSeM","Sekolah Seni Malaysia",G86 = "KC","Kesusasteraan Cina",G86 = "KSSMPK","Pendidikan Khas",G86 = "MPEI","Mata Pelajaran Elektif Ikhtisas",G86 = "MPET","Mata Pelajaran Elektif Teknikal",G86 = "MPV","Mata Pelajaran Vokasional",G86 = "MPAK","Mata Pelajaran Aliran Kebangsaan")</f>
        <v>Sekolah Seni Malaysia</v>
      </c>
      <c r="I86" t="str" cm="1">
        <f t="array" ref="I86">_xlfn.IFS(A86="SR","Sekolah Rendah",A86="SM","Sekolah Menengah")</f>
        <v>Sekolah Menengah</v>
      </c>
      <c r="J86" s="1" t="str" cm="1">
        <f t="array" ref="J86">_xlfn.SWITCH(B86,"T1","Tahun 1","T2","Tahun 2","T3","Tahun 3","T4","Tahun 4","T5","Tahun 5","T6","Tahun 6","TB1","Tingkatan 1","TB2","Tingkatan 2","TB3","Tingkatan 3","TA4","Tingkatan 4","TA5","Tingkatan 5")</f>
        <v>Tingkatan 3</v>
      </c>
      <c r="K86" t="b">
        <f>IF(COUNTIF(E86,"*DLP*"),TRUE)</f>
        <v>0</v>
      </c>
      <c r="L86" s="2" t="s">
        <v>130</v>
      </c>
    </row>
    <row r="87" spans="1:12" x14ac:dyDescent="0.3">
      <c r="A87" t="s">
        <v>8</v>
      </c>
      <c r="B87" t="s">
        <v>23</v>
      </c>
      <c r="C87">
        <f>C86+1</f>
        <v>29</v>
      </c>
      <c r="D87" s="2" t="str" cm="1">
        <f t="array" ref="D87">A87&amp;B87&amp;_xlfn.IFS(C87 &lt; 10,"B00"&amp;C87,AND(C87 &gt;= 10,C87 &lt; 100),"B0"&amp;C87,C87 &gt;= 100,"B"&amp;C87)</f>
        <v>SMTB3B029</v>
      </c>
      <c r="E87" t="s">
        <v>43</v>
      </c>
      <c r="F87" s="2" t="str">
        <f>SUBSTITUTE(E87,"DLP"," ")</f>
        <v>Seni Tari</v>
      </c>
      <c r="G87" t="s">
        <v>46</v>
      </c>
      <c r="H87" s="2" t="str" cm="1">
        <f t="array" ref="H87">_xlfn.IFS(G87 = "KSSR","Kokurikulum Standard Sekolah Rendah",G87 = "KSSM","Kokurikulum Standard Sekolah Menengah",G87 = "KBDKBT","Kokurikulum Bersepadu Dini dan Kokurikulum Bersepadu Tahfiz",G87 = "SSeM","Sekolah Seni Malaysia",G87 = "KC","Kesusasteraan Cina",G87 = "KSSMPK","Pendidikan Khas",G87 = "MPEI","Mata Pelajaran Elektif Ikhtisas",G87 = "MPET","Mata Pelajaran Elektif Teknikal",G87 = "MPV","Mata Pelajaran Vokasional",G87 = "MPAK","Mata Pelajaran Aliran Kebangsaan")</f>
        <v>Sekolah Seni Malaysia</v>
      </c>
      <c r="I87" t="str" cm="1">
        <f t="array" ref="I87">_xlfn.IFS(A87="SR","Sekolah Rendah",A87="SM","Sekolah Menengah")</f>
        <v>Sekolah Menengah</v>
      </c>
      <c r="J87" s="1" t="str" cm="1">
        <f t="array" ref="J87">_xlfn.SWITCH(B87,"T1","Tahun 1","T2","Tahun 2","T3","Tahun 3","T4","Tahun 4","T5","Tahun 5","T6","Tahun 6","TB1","Tingkatan 1","TB2","Tingkatan 2","TB3","Tingkatan 3","TA4","Tingkatan 4","TA5","Tingkatan 5")</f>
        <v>Tingkatan 3</v>
      </c>
      <c r="K87" t="b">
        <f>IF(COUNTIF(E87,"*DLP*"),TRUE)</f>
        <v>0</v>
      </c>
      <c r="L87" s="2" t="s">
        <v>130</v>
      </c>
    </row>
    <row r="88" spans="1:12" x14ac:dyDescent="0.3">
      <c r="A88" t="s">
        <v>8</v>
      </c>
      <c r="B88" t="s">
        <v>23</v>
      </c>
      <c r="C88">
        <f>C87+1</f>
        <v>30</v>
      </c>
      <c r="D88" s="2" t="str" cm="1">
        <f t="array" ref="D88">A88&amp;B88&amp;_xlfn.IFS(C88 &lt; 10,"B00"&amp;C88,AND(C88 &gt;= 10,C88 &lt; 100),"B0"&amp;C88,C88 &gt;= 100,"B"&amp;C88)</f>
        <v>SMTB3B030</v>
      </c>
      <c r="E88" t="s">
        <v>44</v>
      </c>
      <c r="F88" s="2" t="str">
        <f>SUBSTITUTE(E88,"DLP"," ")</f>
        <v>Seni Teater</v>
      </c>
      <c r="G88" t="s">
        <v>46</v>
      </c>
      <c r="H88" s="2" t="str" cm="1">
        <f t="array" ref="H88">_xlfn.IFS(G88 = "KSSR","Kokurikulum Standard Sekolah Rendah",G88 = "KSSM","Kokurikulum Standard Sekolah Menengah",G88 = "KBDKBT","Kokurikulum Bersepadu Dini dan Kokurikulum Bersepadu Tahfiz",G88 = "SSeM","Sekolah Seni Malaysia",G88 = "KC","Kesusasteraan Cina",G88 = "KSSMPK","Pendidikan Khas",G88 = "MPEI","Mata Pelajaran Elektif Ikhtisas",G88 = "MPET","Mata Pelajaran Elektif Teknikal",G88 = "MPV","Mata Pelajaran Vokasional",G88 = "MPAK","Mata Pelajaran Aliran Kebangsaan")</f>
        <v>Sekolah Seni Malaysia</v>
      </c>
      <c r="I88" t="str" cm="1">
        <f t="array" ref="I88">_xlfn.IFS(A88="SR","Sekolah Rendah",A88="SM","Sekolah Menengah")</f>
        <v>Sekolah Menengah</v>
      </c>
      <c r="J88" s="1" t="str" cm="1">
        <f t="array" ref="J88">_xlfn.SWITCH(B88,"T1","Tahun 1","T2","Tahun 2","T3","Tahun 3","T4","Tahun 4","T5","Tahun 5","T6","Tahun 6","TB1","Tingkatan 1","TB2","Tingkatan 2","TB3","Tingkatan 3","TA4","Tingkatan 4","TA5","Tingkatan 5")</f>
        <v>Tingkatan 3</v>
      </c>
      <c r="K88" t="b">
        <f>IF(COUNTIF(E88,"*DLP*"),TRUE)</f>
        <v>0</v>
      </c>
      <c r="L88" s="2" t="s">
        <v>130</v>
      </c>
    </row>
    <row r="89" spans="1:12" x14ac:dyDescent="0.3">
      <c r="A89" t="s">
        <v>8</v>
      </c>
      <c r="B89" t="s">
        <v>23</v>
      </c>
      <c r="C89">
        <f>C88+1</f>
        <v>31</v>
      </c>
      <c r="D89" s="2" t="str" cm="1">
        <f t="array" ref="D89">A89&amp;B89&amp;_xlfn.IFS(C89 &lt; 10,"B00"&amp;C89,AND(C89 &gt;= 10,C89 &lt; 100),"B0"&amp;C89,C89 &gt;= 100,"B"&amp;C89)</f>
        <v>SMTB3B031</v>
      </c>
      <c r="E89" t="s">
        <v>45</v>
      </c>
      <c r="F89" s="2" t="str">
        <f>SUBSTITUTE(E89,"DLP"," ")</f>
        <v>Seni Visual</v>
      </c>
      <c r="G89" t="s">
        <v>46</v>
      </c>
      <c r="H89" s="2" t="str" cm="1">
        <f t="array" ref="H89">_xlfn.IFS(G89 = "KSSR","Kokurikulum Standard Sekolah Rendah",G89 = "KSSM","Kokurikulum Standard Sekolah Menengah",G89 = "KBDKBT","Kokurikulum Bersepadu Dini dan Kokurikulum Bersepadu Tahfiz",G89 = "SSeM","Sekolah Seni Malaysia",G89 = "KC","Kesusasteraan Cina",G89 = "KSSMPK","Pendidikan Khas",G89 = "MPEI","Mata Pelajaran Elektif Ikhtisas",G89 = "MPET","Mata Pelajaran Elektif Teknikal",G89 = "MPV","Mata Pelajaran Vokasional",G89 = "MPAK","Mata Pelajaran Aliran Kebangsaan")</f>
        <v>Sekolah Seni Malaysia</v>
      </c>
      <c r="I89" t="str" cm="1">
        <f t="array" ref="I89">_xlfn.IFS(A89="SR","Sekolah Rendah",A89="SM","Sekolah Menengah")</f>
        <v>Sekolah Menengah</v>
      </c>
      <c r="J89" s="1" t="str" cm="1">
        <f t="array" ref="J89">_xlfn.SWITCH(B89,"T1","Tahun 1","T2","Tahun 2","T3","Tahun 3","T4","Tahun 4","T5","Tahun 5","T6","Tahun 6","TB1","Tingkatan 1","TB2","Tingkatan 2","TB3","Tingkatan 3","TA4","Tingkatan 4","TA5","Tingkatan 5")</f>
        <v>Tingkatan 3</v>
      </c>
      <c r="K89" t="b">
        <f>IF(COUNTIF(E89,"*DLP*"),TRUE)</f>
        <v>0</v>
      </c>
      <c r="L89" s="2" t="s">
        <v>130</v>
      </c>
    </row>
    <row r="90" spans="1:12" x14ac:dyDescent="0.3">
      <c r="A90" t="s">
        <v>8</v>
      </c>
      <c r="B90" t="str">
        <f>"TA4"</f>
        <v>TA4</v>
      </c>
      <c r="C90">
        <v>1</v>
      </c>
      <c r="D90" s="2" t="str" cm="1">
        <f t="array" ref="D90">A90&amp;B90&amp;_xlfn.IFS(C90 &lt; 10,"B00"&amp;C90,AND(C90 &gt;= 10,C90 &lt; 100),"B0"&amp;C90,C90 &gt;= 100,"B"&amp;C90)</f>
        <v>SMTA4B001</v>
      </c>
      <c r="E90" t="s">
        <v>56</v>
      </c>
      <c r="F90" s="2" t="str">
        <f>SUBSTITUTE(E90,"DLP"," ")</f>
        <v xml:space="preserve">Additional Mathematics  </v>
      </c>
      <c r="G90" t="s">
        <v>36</v>
      </c>
      <c r="H90" s="2" t="str" cm="1">
        <f t="array" ref="H90">_xlfn.IFS(G90 = "KSSR","Kokurikulum Standard Sekolah Rendah",G90 = "KSSM","Kokurikulum Standard Sekolah Menengah",G90 = "KBDKBT","Kokurikulum Bersepadu Dini dan Kokurikulum Bersepadu Tahfiz",G90 = "SSeM","Sekolah Seni Malaysia",G90 = "KC","Kesusasteraan Cina",G90 = "KSSMPK","Pendidikan Khas",G90 = "MPEI","Mata Pelajaran Elektif Ikhtisas",G90 = "MPET","Mata Pelajaran Elektif Teknikal",G90 = "MPV","Mata Pelajaran Vokasional",G90 = "MPAK","Mata Pelajaran Aliran Kebangsaan")</f>
        <v>Kokurikulum Standard Sekolah Menengah</v>
      </c>
      <c r="I90" t="str" cm="1">
        <f t="array" ref="I90">_xlfn.IFS(A90="SR","Sekolah Rendah",A90="SM","Sekolah Menengah")</f>
        <v>Sekolah Menengah</v>
      </c>
      <c r="J90" s="1" t="str" cm="1">
        <f t="array" ref="J90">_xlfn.SWITCH(B90,"T1","Tahun 1","T2","Tahun 2","T3","Tahun 3","T4","Tahun 4","T5","Tahun 5","T6","Tahun 6","TB1","Tingkatan 1","TB2","Tingkatan 2","TB3","Tingkatan 3","TA4","Tingkatan 4","TA5","Tingkatan 5")</f>
        <v>Tingkatan 4</v>
      </c>
      <c r="K90" t="b">
        <f>IF(COUNTIF(E90,"*DLP*"),TRUE)</f>
        <v>1</v>
      </c>
      <c r="L90" s="2" t="s">
        <v>130</v>
      </c>
    </row>
    <row r="91" spans="1:12" x14ac:dyDescent="0.3">
      <c r="A91" t="s">
        <v>8</v>
      </c>
      <c r="B91" t="str">
        <f>"TA4"</f>
        <v>TA4</v>
      </c>
      <c r="C91">
        <f>C90+1</f>
        <v>2</v>
      </c>
      <c r="D91" s="2" t="str" cm="1">
        <f t="array" ref="D91">A91&amp;B91&amp;_xlfn.IFS(C91 &lt; 10,"B00"&amp;C91,AND(C91 &gt;= 10,C91 &lt; 100),"B0"&amp;C91,C91 &gt;= 100,"B"&amp;C91)</f>
        <v>SMTA4B002</v>
      </c>
      <c r="E91" t="s">
        <v>71</v>
      </c>
      <c r="F91" s="2" t="str">
        <f>SUBSTITUTE(E91,"DLP"," ")</f>
        <v xml:space="preserve">Additional Science  </v>
      </c>
      <c r="G91" t="s">
        <v>36</v>
      </c>
      <c r="H91" s="2" t="str" cm="1">
        <f t="array" ref="H91">_xlfn.IFS(G91 = "KSSR","Kokurikulum Standard Sekolah Rendah",G91 = "KSSM","Kokurikulum Standard Sekolah Menengah",G91 = "KBDKBT","Kokurikulum Bersepadu Dini dan Kokurikulum Bersepadu Tahfiz",G91 = "SSeM","Sekolah Seni Malaysia",G91 = "KC","Kesusasteraan Cina",G91 = "KSSMPK","Pendidikan Khas",G91 = "MPEI","Mata Pelajaran Elektif Ikhtisas",G91 = "MPET","Mata Pelajaran Elektif Teknikal",G91 = "MPV","Mata Pelajaran Vokasional",G91 = "MPAK","Mata Pelajaran Aliran Kebangsaan")</f>
        <v>Kokurikulum Standard Sekolah Menengah</v>
      </c>
      <c r="I91" t="str" cm="1">
        <f t="array" ref="I91">_xlfn.IFS(A91="SR","Sekolah Rendah",A91="SM","Sekolah Menengah")</f>
        <v>Sekolah Menengah</v>
      </c>
      <c r="J91" s="1" t="str" cm="1">
        <f t="array" ref="J91">_xlfn.SWITCH(B91,"T1","Tahun 1","T2","Tahun 2","T3","Tahun 3","T4","Tahun 4","T5","Tahun 5","T6","Tahun 6","TB1","Tingkatan 1","TB2","Tingkatan 2","TB3","Tingkatan 3","TA4","Tingkatan 4","TA5","Tingkatan 5")</f>
        <v>Tingkatan 4</v>
      </c>
      <c r="K91" t="b">
        <f>IF(COUNTIF(E91,"*DLP*"),TRUE)</f>
        <v>1</v>
      </c>
      <c r="L91" s="2" t="s">
        <v>130</v>
      </c>
    </row>
    <row r="92" spans="1:12" x14ac:dyDescent="0.3">
      <c r="A92" t="s">
        <v>8</v>
      </c>
      <c r="B92" t="str">
        <f>"TA4"</f>
        <v>TA4</v>
      </c>
      <c r="C92">
        <f>C91+1</f>
        <v>3</v>
      </c>
      <c r="D92" s="2" t="str" cm="1">
        <f t="array" ref="D92">A92&amp;B92&amp;_xlfn.IFS(C92 &lt; 10,"B00"&amp;C92,AND(C92 &gt;= 10,C92 &lt; 100),"B0"&amp;C92,C92 &gt;= 100,"B"&amp;C92)</f>
        <v>SMTA4B003</v>
      </c>
      <c r="E92" t="s">
        <v>28</v>
      </c>
      <c r="F92" s="2" t="str">
        <f>SUBSTITUTE(E92,"DLP"," ")</f>
        <v>Bahasa Arab</v>
      </c>
      <c r="G92" t="s">
        <v>36</v>
      </c>
      <c r="H92" s="2" t="str" cm="1">
        <f t="array" ref="H92">_xlfn.IFS(G92 = "KSSR","Kokurikulum Standard Sekolah Rendah",G92 = "KSSM","Kokurikulum Standard Sekolah Menengah",G92 = "KBDKBT","Kokurikulum Bersepadu Dini dan Kokurikulum Bersepadu Tahfiz",G92 = "SSeM","Sekolah Seni Malaysia",G92 = "KC","Kesusasteraan Cina",G92 = "KSSMPK","Pendidikan Khas",G92 = "MPEI","Mata Pelajaran Elektif Ikhtisas",G92 = "MPET","Mata Pelajaran Elektif Teknikal",G92 = "MPV","Mata Pelajaran Vokasional",G92 = "MPAK","Mata Pelajaran Aliran Kebangsaan")</f>
        <v>Kokurikulum Standard Sekolah Menengah</v>
      </c>
      <c r="I92" t="str" cm="1">
        <f t="array" ref="I92">_xlfn.IFS(A92="SR","Sekolah Rendah",A92="SM","Sekolah Menengah")</f>
        <v>Sekolah Menengah</v>
      </c>
      <c r="J92" s="1" t="str" cm="1">
        <f t="array" ref="J92">_xlfn.SWITCH(B92,"T1","Tahun 1","T2","Tahun 2","T3","Tahun 3","T4","Tahun 4","T5","Tahun 5","T6","Tahun 6","TB1","Tingkatan 1","TB2","Tingkatan 2","TB3","Tingkatan 3","TA4","Tingkatan 4","TA5","Tingkatan 5")</f>
        <v>Tingkatan 4</v>
      </c>
      <c r="K92" t="b">
        <f>IF(COUNTIF(E92,"*DLP*"),TRUE)</f>
        <v>0</v>
      </c>
      <c r="L92" s="2" t="s">
        <v>130</v>
      </c>
    </row>
    <row r="93" spans="1:12" x14ac:dyDescent="0.3">
      <c r="A93" t="s">
        <v>8</v>
      </c>
      <c r="B93" t="str">
        <f>"TA4"</f>
        <v>TA4</v>
      </c>
      <c r="C93">
        <f>C92+1</f>
        <v>4</v>
      </c>
      <c r="D93" s="2" t="str" cm="1">
        <f t="array" ref="D93">A93&amp;B93&amp;_xlfn.IFS(C93 &lt; 10,"B00"&amp;C93,AND(C93 &gt;= 10,C93 &lt; 100),"B0"&amp;C93,C93 &gt;= 100,"B"&amp;C93)</f>
        <v>SMTA4B004</v>
      </c>
      <c r="E93" t="s">
        <v>30</v>
      </c>
      <c r="F93" s="2" t="str">
        <f>SUBSTITUTE(E93,"DLP"," ")</f>
        <v>Bahasa Cina</v>
      </c>
      <c r="G93" t="s">
        <v>36</v>
      </c>
      <c r="H93" s="2" t="str" cm="1">
        <f t="array" ref="H93">_xlfn.IFS(G93 = "KSSR","Kokurikulum Standard Sekolah Rendah",G93 = "KSSM","Kokurikulum Standard Sekolah Menengah",G93 = "KBDKBT","Kokurikulum Bersepadu Dini dan Kokurikulum Bersepadu Tahfiz",G93 = "SSeM","Sekolah Seni Malaysia",G93 = "KC","Kesusasteraan Cina",G93 = "KSSMPK","Pendidikan Khas",G93 = "MPEI","Mata Pelajaran Elektif Ikhtisas",G93 = "MPET","Mata Pelajaran Elektif Teknikal",G93 = "MPV","Mata Pelajaran Vokasional",G93 = "MPAK","Mata Pelajaran Aliran Kebangsaan")</f>
        <v>Kokurikulum Standard Sekolah Menengah</v>
      </c>
      <c r="I93" t="str" cm="1">
        <f t="array" ref="I93">_xlfn.IFS(A93="SR","Sekolah Rendah",A93="SM","Sekolah Menengah")</f>
        <v>Sekolah Menengah</v>
      </c>
      <c r="J93" s="1" t="str" cm="1">
        <f t="array" ref="J93">_xlfn.SWITCH(B93,"T1","Tahun 1","T2","Tahun 2","T3","Tahun 3","T4","Tahun 4","T5","Tahun 5","T6","Tahun 6","TB1","Tingkatan 1","TB2","Tingkatan 2","TB3","Tingkatan 3","TA4","Tingkatan 4","TA5","Tingkatan 5")</f>
        <v>Tingkatan 4</v>
      </c>
      <c r="K93" t="b">
        <f>IF(COUNTIF(E93,"*DLP*"),TRUE)</f>
        <v>0</v>
      </c>
      <c r="L93" s="2" t="s">
        <v>130</v>
      </c>
    </row>
    <row r="94" spans="1:12" x14ac:dyDescent="0.3">
      <c r="A94" t="s">
        <v>8</v>
      </c>
      <c r="B94" t="str">
        <f>"TA4"</f>
        <v>TA4</v>
      </c>
      <c r="C94">
        <f>C93+1</f>
        <v>5</v>
      </c>
      <c r="D94" s="2" t="str" cm="1">
        <f t="array" ref="D94">A94&amp;B94&amp;_xlfn.IFS(C94 &lt; 10,"B00"&amp;C94,AND(C94 &gt;= 10,C94 &lt; 100),"B0"&amp;C94,C94 &gt;= 100,"B"&amp;C94)</f>
        <v>SMTA4B005</v>
      </c>
      <c r="E94" t="s">
        <v>51</v>
      </c>
      <c r="F94" s="2" t="str">
        <f>SUBSTITUTE(E94,"DLP"," ")</f>
        <v>Bahasa Iban</v>
      </c>
      <c r="G94" t="s">
        <v>36</v>
      </c>
      <c r="H94" s="2" t="str" cm="1">
        <f t="array" ref="H94">_xlfn.IFS(G94 = "KSSR","Kokurikulum Standard Sekolah Rendah",G94 = "KSSM","Kokurikulum Standard Sekolah Menengah",G94 = "KBDKBT","Kokurikulum Bersepadu Dini dan Kokurikulum Bersepadu Tahfiz",G94 = "SSeM","Sekolah Seni Malaysia",G94 = "KC","Kesusasteraan Cina",G94 = "KSSMPK","Pendidikan Khas",G94 = "MPEI","Mata Pelajaran Elektif Ikhtisas",G94 = "MPET","Mata Pelajaran Elektif Teknikal",G94 = "MPV","Mata Pelajaran Vokasional",G94 = "MPAK","Mata Pelajaran Aliran Kebangsaan")</f>
        <v>Kokurikulum Standard Sekolah Menengah</v>
      </c>
      <c r="I94" t="str" cm="1">
        <f t="array" ref="I94">_xlfn.IFS(A94="SR","Sekolah Rendah",A94="SM","Sekolah Menengah")</f>
        <v>Sekolah Menengah</v>
      </c>
      <c r="J94" s="1" t="str" cm="1">
        <f t="array" ref="J94">_xlfn.SWITCH(B94,"T1","Tahun 1","T2","Tahun 2","T3","Tahun 3","T4","Tahun 4","T5","Tahun 5","T6","Tahun 6","TB1","Tingkatan 1","TB2","Tingkatan 2","TB3","Tingkatan 3","TA4","Tingkatan 4","TA5","Tingkatan 5")</f>
        <v>Tingkatan 4</v>
      </c>
      <c r="K94" t="b">
        <f>IF(COUNTIF(E94,"*DLP*"),TRUE)</f>
        <v>0</v>
      </c>
      <c r="L94" s="2" t="s">
        <v>130</v>
      </c>
    </row>
    <row r="95" spans="1:12" x14ac:dyDescent="0.3">
      <c r="A95" t="s">
        <v>8</v>
      </c>
      <c r="B95" t="str">
        <f>"TA4"</f>
        <v>TA4</v>
      </c>
      <c r="C95">
        <f>C94+1</f>
        <v>6</v>
      </c>
      <c r="D95" s="2" t="str" cm="1">
        <f t="array" ref="D95">A95&amp;B95&amp;_xlfn.IFS(C95 &lt; 10,"B00"&amp;C95,AND(C95 &gt;= 10,C95 &lt; 100),"B0"&amp;C95,C95 &gt;= 100,"B"&amp;C95)</f>
        <v>SMTA4B006</v>
      </c>
      <c r="E95" t="s">
        <v>70</v>
      </c>
      <c r="F95" s="2" t="str">
        <f>SUBSTITUTE(E95,"DLP"," ")</f>
        <v>Bahasa Jepun Tingkatan 4 dan 5</v>
      </c>
      <c r="G95" t="s">
        <v>36</v>
      </c>
      <c r="H95" s="2" t="str" cm="1">
        <f t="array" ref="H95">_xlfn.IFS(G95 = "KSSR","Kokurikulum Standard Sekolah Rendah",G95 = "KSSM","Kokurikulum Standard Sekolah Menengah",G95 = "KBDKBT","Kokurikulum Bersepadu Dini dan Kokurikulum Bersepadu Tahfiz",G95 = "SSeM","Sekolah Seni Malaysia",G95 = "KC","Kesusasteraan Cina",G95 = "KSSMPK","Pendidikan Khas",G95 = "MPEI","Mata Pelajaran Elektif Ikhtisas",G95 = "MPET","Mata Pelajaran Elektif Teknikal",G95 = "MPV","Mata Pelajaran Vokasional",G95 = "MPAK","Mata Pelajaran Aliran Kebangsaan")</f>
        <v>Kokurikulum Standard Sekolah Menengah</v>
      </c>
      <c r="I95" t="str" cm="1">
        <f t="array" ref="I95">_xlfn.IFS(A95="SR","Sekolah Rendah",A95="SM","Sekolah Menengah")</f>
        <v>Sekolah Menengah</v>
      </c>
      <c r="J95" s="1" t="str" cm="1">
        <f t="array" ref="J95">_xlfn.SWITCH(B95,"T1","Tahun 1","T2","Tahun 2","T3","Tahun 3","T4","Tahun 4","T5","Tahun 5","T6","Tahun 6","TB1","Tingkatan 1","TB2","Tingkatan 2","TB3","Tingkatan 3","TA4","Tingkatan 4","TA5","Tingkatan 5")</f>
        <v>Tingkatan 4</v>
      </c>
      <c r="K95" t="b">
        <f>IF(COUNTIF(E95,"*DLP*"),TRUE)</f>
        <v>0</v>
      </c>
      <c r="L95" t="s">
        <v>130</v>
      </c>
    </row>
    <row r="96" spans="1:12" x14ac:dyDescent="0.3">
      <c r="A96" t="s">
        <v>8</v>
      </c>
      <c r="B96" t="str">
        <f>"TA4"</f>
        <v>TA4</v>
      </c>
      <c r="C96">
        <f>C95+1</f>
        <v>7</v>
      </c>
      <c r="D96" s="2" t="str" cm="1">
        <f t="array" ref="D96">A96&amp;B96&amp;_xlfn.IFS(C96 &lt; 10,"B00"&amp;C96,AND(C96 &gt;= 10,C96 &lt; 100),"B0"&amp;C96,C96 &gt;= 100,"B"&amp;C96)</f>
        <v>SMTA4B007</v>
      </c>
      <c r="E96" t="s">
        <v>48</v>
      </c>
      <c r="F96" s="2" t="str">
        <f>SUBSTITUTE(E96,"DLP"," ")</f>
        <v>Bahasa Kadazandusun</v>
      </c>
      <c r="G96" t="s">
        <v>36</v>
      </c>
      <c r="H96" s="2" t="str" cm="1">
        <f t="array" ref="H96">_xlfn.IFS(G96 = "KSSR","Kokurikulum Standard Sekolah Rendah",G96 = "KSSM","Kokurikulum Standard Sekolah Menengah",G96 = "KBDKBT","Kokurikulum Bersepadu Dini dan Kokurikulum Bersepadu Tahfiz",G96 = "SSeM","Sekolah Seni Malaysia",G96 = "KC","Kesusasteraan Cina",G96 = "KSSMPK","Pendidikan Khas",G96 = "MPEI","Mata Pelajaran Elektif Ikhtisas",G96 = "MPET","Mata Pelajaran Elektif Teknikal",G96 = "MPV","Mata Pelajaran Vokasional",G96 = "MPAK","Mata Pelajaran Aliran Kebangsaan")</f>
        <v>Kokurikulum Standard Sekolah Menengah</v>
      </c>
      <c r="I96" t="str" cm="1">
        <f t="array" ref="I96">_xlfn.IFS(A96="SR","Sekolah Rendah",A96="SM","Sekolah Menengah")</f>
        <v>Sekolah Menengah</v>
      </c>
      <c r="J96" s="1" t="str" cm="1">
        <f t="array" ref="J96">_xlfn.SWITCH(B96,"T1","Tahun 1","T2","Tahun 2","T3","Tahun 3","T4","Tahun 4","T5","Tahun 5","T6","Tahun 6","TB1","Tingkatan 1","TB2","Tingkatan 2","TB3","Tingkatan 3","TA4","Tingkatan 4","TA5","Tingkatan 5")</f>
        <v>Tingkatan 4</v>
      </c>
      <c r="K96" t="b">
        <f>IF(COUNTIF(E96,"*DLP*"),TRUE)</f>
        <v>0</v>
      </c>
      <c r="L96" t="s">
        <v>130</v>
      </c>
    </row>
    <row r="97" spans="1:12" x14ac:dyDescent="0.3">
      <c r="A97" t="s">
        <v>8</v>
      </c>
      <c r="B97" t="str">
        <f>"TA4"</f>
        <v>TA4</v>
      </c>
      <c r="C97">
        <f>C96+1</f>
        <v>8</v>
      </c>
      <c r="D97" s="2" t="str" cm="1">
        <f t="array" ref="D97">A97&amp;B97&amp;_xlfn.IFS(C97 &lt; 10,"B00"&amp;C97,AND(C97 &gt;= 10,C97 &lt; 100),"B0"&amp;C97,C97 &gt;= 100,"B"&amp;C97)</f>
        <v>SMTA4B008</v>
      </c>
      <c r="E97" t="s">
        <v>7</v>
      </c>
      <c r="F97" s="2" t="str">
        <f>SUBSTITUTE(E97,"DLP"," ")</f>
        <v>Bahasa Melayu</v>
      </c>
      <c r="G97" t="s">
        <v>36</v>
      </c>
      <c r="H97" s="2" t="str" cm="1">
        <f t="array" ref="H97">_xlfn.IFS(G97 = "KSSR","Kokurikulum Standard Sekolah Rendah",G97 = "KSSM","Kokurikulum Standard Sekolah Menengah",G97 = "KBDKBT","Kokurikulum Bersepadu Dini dan Kokurikulum Bersepadu Tahfiz",G97 = "SSeM","Sekolah Seni Malaysia",G97 = "KC","Kesusasteraan Cina",G97 = "KSSMPK","Pendidikan Khas",G97 = "MPEI","Mata Pelajaran Elektif Ikhtisas",G97 = "MPET","Mata Pelajaran Elektif Teknikal",G97 = "MPV","Mata Pelajaran Vokasional",G97 = "MPAK","Mata Pelajaran Aliran Kebangsaan")</f>
        <v>Kokurikulum Standard Sekolah Menengah</v>
      </c>
      <c r="I97" t="str" cm="1">
        <f t="array" ref="I97">_xlfn.IFS(A97="SR","Sekolah Rendah",A97="SM","Sekolah Menengah")</f>
        <v>Sekolah Menengah</v>
      </c>
      <c r="J97" s="1" t="str" cm="1">
        <f t="array" ref="J97">_xlfn.SWITCH(B97,"T1","Tahun 1","T2","Tahun 2","T3","Tahun 3","T4","Tahun 4","T5","Tahun 5","T6","Tahun 6","TB1","Tingkatan 1","TB2","Tingkatan 2","TB3","Tingkatan 3","TA4","Tingkatan 4","TA5","Tingkatan 5")</f>
        <v>Tingkatan 4</v>
      </c>
      <c r="K97" t="b">
        <f>IF(COUNTIF(E97,"*DLP*"),TRUE)</f>
        <v>0</v>
      </c>
      <c r="L97" t="s">
        <v>130</v>
      </c>
    </row>
    <row r="98" spans="1:12" x14ac:dyDescent="0.3">
      <c r="A98" t="s">
        <v>8</v>
      </c>
      <c r="B98" t="str">
        <f>"TA4"</f>
        <v>TA4</v>
      </c>
      <c r="C98">
        <f>C97+1</f>
        <v>9</v>
      </c>
      <c r="D98" s="2" t="str" cm="1">
        <f t="array" ref="D98">A98&amp;B98&amp;_xlfn.IFS(C98 &lt; 10,"B00"&amp;C98,AND(C98 &gt;= 10,C98 &lt; 100),"B0"&amp;C98,C98 &gt;= 100,"B"&amp;C98)</f>
        <v>SMTA4B009</v>
      </c>
      <c r="E98" t="s">
        <v>31</v>
      </c>
      <c r="F98" s="2" t="str">
        <f>SUBSTITUTE(E98,"DLP"," ")</f>
        <v>Bahasa Semai</v>
      </c>
      <c r="G98" t="s">
        <v>36</v>
      </c>
      <c r="H98" s="2" t="str" cm="1">
        <f t="array" ref="H98">_xlfn.IFS(G98 = "KSSR","Kokurikulum Standard Sekolah Rendah",G98 = "KSSM","Kokurikulum Standard Sekolah Menengah",G98 = "KBDKBT","Kokurikulum Bersepadu Dini dan Kokurikulum Bersepadu Tahfiz",G98 = "SSeM","Sekolah Seni Malaysia",G98 = "KC","Kesusasteraan Cina",G98 = "KSSMPK","Pendidikan Khas",G98 = "MPEI","Mata Pelajaran Elektif Ikhtisas",G98 = "MPET","Mata Pelajaran Elektif Teknikal",G98 = "MPV","Mata Pelajaran Vokasional",G98 = "MPAK","Mata Pelajaran Aliran Kebangsaan")</f>
        <v>Kokurikulum Standard Sekolah Menengah</v>
      </c>
      <c r="I98" t="str" cm="1">
        <f t="array" ref="I98">_xlfn.IFS(A98="SR","Sekolah Rendah",A98="SM","Sekolah Menengah")</f>
        <v>Sekolah Menengah</v>
      </c>
      <c r="J98" s="1" t="str" cm="1">
        <f t="array" ref="J98">_xlfn.SWITCH(B98,"T1","Tahun 1","T2","Tahun 2","T3","Tahun 3","T4","Tahun 4","T5","Tahun 5","T6","Tahun 6","TB1","Tingkatan 1","TB2","Tingkatan 2","TB3","Tingkatan 3","TA4","Tingkatan 4","TA5","Tingkatan 5")</f>
        <v>Tingkatan 4</v>
      </c>
      <c r="K98" t="b">
        <f>IF(COUNTIF(E98,"*DLP*"),TRUE)</f>
        <v>0</v>
      </c>
      <c r="L98" t="s">
        <v>130</v>
      </c>
    </row>
    <row r="99" spans="1:12" x14ac:dyDescent="0.3">
      <c r="A99" t="s">
        <v>8</v>
      </c>
      <c r="B99" t="str">
        <f>"TA4"</f>
        <v>TA4</v>
      </c>
      <c r="C99">
        <f>C98+1</f>
        <v>10</v>
      </c>
      <c r="D99" s="2" t="str" cm="1">
        <f t="array" ref="D99">A99&amp;B99&amp;_xlfn.IFS(C99 &lt; 10,"B00"&amp;C99,AND(C99 &gt;= 10,C99 &lt; 100),"B0"&amp;C99,C99 &gt;= 100,"B"&amp;C99)</f>
        <v>SMTA4B010</v>
      </c>
      <c r="E99" t="s">
        <v>33</v>
      </c>
      <c r="F99" s="2" t="str">
        <f>SUBSTITUTE(E99,"DLP"," ")</f>
        <v>Bahasa Tamil</v>
      </c>
      <c r="G99" t="s">
        <v>36</v>
      </c>
      <c r="H99" s="2" t="str" cm="1">
        <f t="array" ref="H99">_xlfn.IFS(G99 = "KSSR","Kokurikulum Standard Sekolah Rendah",G99 = "KSSM","Kokurikulum Standard Sekolah Menengah",G99 = "KBDKBT","Kokurikulum Bersepadu Dini dan Kokurikulum Bersepadu Tahfiz",G99 = "SSeM","Sekolah Seni Malaysia",G99 = "KC","Kesusasteraan Cina",G99 = "KSSMPK","Pendidikan Khas",G99 = "MPEI","Mata Pelajaran Elektif Ikhtisas",G99 = "MPET","Mata Pelajaran Elektif Teknikal",G99 = "MPV","Mata Pelajaran Vokasional",G99 = "MPAK","Mata Pelajaran Aliran Kebangsaan")</f>
        <v>Kokurikulum Standard Sekolah Menengah</v>
      </c>
      <c r="I99" t="str" cm="1">
        <f t="array" ref="I99">_xlfn.IFS(A99="SR","Sekolah Rendah",A99="SM","Sekolah Menengah")</f>
        <v>Sekolah Menengah</v>
      </c>
      <c r="J99" s="1" t="str" cm="1">
        <f t="array" ref="J99">_xlfn.SWITCH(B99,"T1","Tahun 1","T2","Tahun 2","T3","Tahun 3","T4","Tahun 4","T5","Tahun 5","T6","Tahun 6","TB1","Tingkatan 1","TB2","Tingkatan 2","TB3","Tingkatan 3","TA4","Tingkatan 4","TA5","Tingkatan 5")</f>
        <v>Tingkatan 4</v>
      </c>
      <c r="K99" t="b">
        <f>IF(COUNTIF(E99,"*DLP*"),TRUE)</f>
        <v>0</v>
      </c>
      <c r="L99" t="s">
        <v>130</v>
      </c>
    </row>
    <row r="100" spans="1:12" x14ac:dyDescent="0.3">
      <c r="A100" t="s">
        <v>8</v>
      </c>
      <c r="B100" t="str">
        <f>"TA4"</f>
        <v>TA4</v>
      </c>
      <c r="C100">
        <f>C99+1</f>
        <v>11</v>
      </c>
      <c r="D100" s="2" t="str" cm="1">
        <f t="array" ref="D100">A100&amp;B100&amp;_xlfn.IFS(C100 &lt; 10,"B00"&amp;C100,AND(C100 &gt;= 10,C100 &lt; 100),"B0"&amp;C100,C100 &gt;= 100,"B"&amp;C100)</f>
        <v>SMTA4B011</v>
      </c>
      <c r="E100" t="s">
        <v>58</v>
      </c>
      <c r="F100" s="2" t="str">
        <f>SUBSTITUTE(E100,"DLP"," ")</f>
        <v>Biologi</v>
      </c>
      <c r="G100" t="s">
        <v>36</v>
      </c>
      <c r="H100" s="2" t="str" cm="1">
        <f t="array" ref="H100">_xlfn.IFS(G100 = "KSSR","Kokurikulum Standard Sekolah Rendah",G100 = "KSSM","Kokurikulum Standard Sekolah Menengah",G100 = "KBDKBT","Kokurikulum Bersepadu Dini dan Kokurikulum Bersepadu Tahfiz",G100 = "SSeM","Sekolah Seni Malaysia",G100 = "KC","Kesusasteraan Cina",G100 = "KSSMPK","Pendidikan Khas",G100 = "MPEI","Mata Pelajaran Elektif Ikhtisas",G100 = "MPET","Mata Pelajaran Elektif Teknikal",G100 = "MPV","Mata Pelajaran Vokasional",G100 = "MPAK","Mata Pelajaran Aliran Kebangsaan")</f>
        <v>Kokurikulum Standard Sekolah Menengah</v>
      </c>
      <c r="I100" t="str" cm="1">
        <f t="array" ref="I100">_xlfn.IFS(A100="SR","Sekolah Rendah",A100="SM","Sekolah Menengah")</f>
        <v>Sekolah Menengah</v>
      </c>
      <c r="J100" s="1" t="str" cm="1">
        <f t="array" ref="J100">_xlfn.SWITCH(B100,"T1","Tahun 1","T2","Tahun 2","T3","Tahun 3","T4","Tahun 4","T5","Tahun 5","T6","Tahun 6","TB1","Tingkatan 1","TB2","Tingkatan 2","TB3","Tingkatan 3","TA4","Tingkatan 4","TA5","Tingkatan 5")</f>
        <v>Tingkatan 4</v>
      </c>
      <c r="K100" t="b">
        <f>IF(COUNTIF(E100,"*DLP*"),TRUE)</f>
        <v>0</v>
      </c>
      <c r="L100" t="s">
        <v>130</v>
      </c>
    </row>
    <row r="101" spans="1:12" x14ac:dyDescent="0.3">
      <c r="A101" t="s">
        <v>8</v>
      </c>
      <c r="B101" t="str">
        <f>"TA4"</f>
        <v>TA4</v>
      </c>
      <c r="C101">
        <f>C100+1</f>
        <v>12</v>
      </c>
      <c r="D101" s="2" t="str" cm="1">
        <f t="array" ref="D101">A101&amp;B101&amp;_xlfn.IFS(C101 &lt; 10,"B00"&amp;C101,AND(C101 &gt;= 10,C101 &lt; 100),"B0"&amp;C101,C101 &gt;= 100,"B"&amp;C101)</f>
        <v>SMTA4B012</v>
      </c>
      <c r="E101" t="s">
        <v>59</v>
      </c>
      <c r="F101" s="2" t="str">
        <f>SUBSTITUTE(E101,"DLP"," ")</f>
        <v xml:space="preserve">Biology  </v>
      </c>
      <c r="G101" t="s">
        <v>36</v>
      </c>
      <c r="H101" s="2" t="str" cm="1">
        <f t="array" ref="H101">_xlfn.IFS(G101 = "KSSR","Kokurikulum Standard Sekolah Rendah",G101 = "KSSM","Kokurikulum Standard Sekolah Menengah",G101 = "KBDKBT","Kokurikulum Bersepadu Dini dan Kokurikulum Bersepadu Tahfiz",G101 = "SSeM","Sekolah Seni Malaysia",G101 = "KC","Kesusasteraan Cina",G101 = "KSSMPK","Pendidikan Khas",G101 = "MPEI","Mata Pelajaran Elektif Ikhtisas",G101 = "MPET","Mata Pelajaran Elektif Teknikal",G101 = "MPV","Mata Pelajaran Vokasional",G101 = "MPAK","Mata Pelajaran Aliran Kebangsaan")</f>
        <v>Kokurikulum Standard Sekolah Menengah</v>
      </c>
      <c r="I101" t="str" cm="1">
        <f t="array" ref="I101">_xlfn.IFS(A101="SR","Sekolah Rendah",A101="SM","Sekolah Menengah")</f>
        <v>Sekolah Menengah</v>
      </c>
      <c r="J101" s="1" t="str" cm="1">
        <f t="array" ref="J101">_xlfn.SWITCH(B101,"T1","Tahun 1","T2","Tahun 2","T3","Tahun 3","T4","Tahun 4","T5","Tahun 5","T6","Tahun 6","TB1","Tingkatan 1","TB2","Tingkatan 2","TB3","Tingkatan 3","TA4","Tingkatan 4","TA5","Tingkatan 5")</f>
        <v>Tingkatan 4</v>
      </c>
      <c r="K101" t="b">
        <f>IF(COUNTIF(E101,"*DLP*"),TRUE)</f>
        <v>1</v>
      </c>
      <c r="L101" t="s">
        <v>130</v>
      </c>
    </row>
    <row r="102" spans="1:12" x14ac:dyDescent="0.3">
      <c r="A102" t="s">
        <v>8</v>
      </c>
      <c r="B102" t="str">
        <f>"TA4"</f>
        <v>TA4</v>
      </c>
      <c r="C102">
        <f>C101+1</f>
        <v>13</v>
      </c>
      <c r="D102" s="2" t="str" cm="1">
        <f t="array" ref="D102">A102&amp;B102&amp;_xlfn.IFS(C102 &lt; 10,"B00"&amp;C102,AND(C102 &gt;= 10,C102 &lt; 100),"B0"&amp;C102,C102 &gt;= 100,"B"&amp;C102)</f>
        <v>SMTA4B013</v>
      </c>
      <c r="E102" t="s">
        <v>61</v>
      </c>
      <c r="F102" s="2" t="str">
        <f>SUBSTITUTE(E102,"DLP"," ")</f>
        <v xml:space="preserve">Chemistry  </v>
      </c>
      <c r="G102" t="s">
        <v>36</v>
      </c>
      <c r="H102" s="2" t="str" cm="1">
        <f t="array" ref="H102">_xlfn.IFS(G102 = "KSSR","Kokurikulum Standard Sekolah Rendah",G102 = "KSSM","Kokurikulum Standard Sekolah Menengah",G102 = "KBDKBT","Kokurikulum Bersepadu Dini dan Kokurikulum Bersepadu Tahfiz",G102 = "SSeM","Sekolah Seni Malaysia",G102 = "KC","Kesusasteraan Cina",G102 = "KSSMPK","Pendidikan Khas",G102 = "MPEI","Mata Pelajaran Elektif Ikhtisas",G102 = "MPET","Mata Pelajaran Elektif Teknikal",G102 = "MPV","Mata Pelajaran Vokasional",G102 = "MPAK","Mata Pelajaran Aliran Kebangsaan")</f>
        <v>Kokurikulum Standard Sekolah Menengah</v>
      </c>
      <c r="I102" t="str" cm="1">
        <f t="array" ref="I102">_xlfn.IFS(A102="SR","Sekolah Rendah",A102="SM","Sekolah Menengah")</f>
        <v>Sekolah Menengah</v>
      </c>
      <c r="J102" s="1" t="str" cm="1">
        <f t="array" ref="J102">_xlfn.SWITCH(B102,"T1","Tahun 1","T2","Tahun 2","T3","Tahun 3","T4","Tahun 4","T5","Tahun 5","T6","Tahun 6","TB1","Tingkatan 1","TB2","Tingkatan 2","TB3","Tingkatan 3","TA4","Tingkatan 4","TA5","Tingkatan 5")</f>
        <v>Tingkatan 4</v>
      </c>
      <c r="K102" t="b">
        <f>IF(COUNTIF(E102,"*DLP*"),TRUE)</f>
        <v>1</v>
      </c>
      <c r="L102" t="s">
        <v>130</v>
      </c>
    </row>
    <row r="103" spans="1:12" x14ac:dyDescent="0.3">
      <c r="A103" t="s">
        <v>8</v>
      </c>
      <c r="B103" t="str">
        <f>"TA4"</f>
        <v>TA4</v>
      </c>
      <c r="C103">
        <f>C102+1</f>
        <v>14</v>
      </c>
      <c r="D103" s="2" t="str" cm="1">
        <f t="array" ref="D103">A103&amp;B103&amp;_xlfn.IFS(C103 &lt; 10,"B00"&amp;C103,AND(C103 &gt;= 10,C103 &lt; 100),"B0"&amp;C103,C103 &gt;= 100,"B"&amp;C103)</f>
        <v>SMTA4B014</v>
      </c>
      <c r="E103" t="s">
        <v>62</v>
      </c>
      <c r="F103" s="2" t="str">
        <f>SUBSTITUTE(E103,"DLP"," ")</f>
        <v>Fizik</v>
      </c>
      <c r="G103" t="s">
        <v>36</v>
      </c>
      <c r="H103" s="2" t="str" cm="1">
        <f t="array" ref="H103">_xlfn.IFS(G103 = "KSSR","Kokurikulum Standard Sekolah Rendah",G103 = "KSSM","Kokurikulum Standard Sekolah Menengah",G103 = "KBDKBT","Kokurikulum Bersepadu Dini dan Kokurikulum Bersepadu Tahfiz",G103 = "SSeM","Sekolah Seni Malaysia",G103 = "KC","Kesusasteraan Cina",G103 = "KSSMPK","Pendidikan Khas",G103 = "MPEI","Mata Pelajaran Elektif Ikhtisas",G103 = "MPET","Mata Pelajaran Elektif Teknikal",G103 = "MPV","Mata Pelajaran Vokasional",G103 = "MPAK","Mata Pelajaran Aliran Kebangsaan")</f>
        <v>Kokurikulum Standard Sekolah Menengah</v>
      </c>
      <c r="I103" t="str" cm="1">
        <f t="array" ref="I103">_xlfn.IFS(A103="SR","Sekolah Rendah",A103="SM","Sekolah Menengah")</f>
        <v>Sekolah Menengah</v>
      </c>
      <c r="J103" s="1" t="str" cm="1">
        <f t="array" ref="J103">_xlfn.SWITCH(B103,"T1","Tahun 1","T2","Tahun 2","T3","Tahun 3","T4","Tahun 4","T5","Tahun 5","T6","Tahun 6","TB1","Tingkatan 1","TB2","Tingkatan 2","TB3","Tingkatan 3","TA4","Tingkatan 4","TA5","Tingkatan 5")</f>
        <v>Tingkatan 4</v>
      </c>
      <c r="K103" t="b">
        <f>IF(COUNTIF(E103,"*DLP*"),TRUE)</f>
        <v>0</v>
      </c>
      <c r="L103" t="s">
        <v>130</v>
      </c>
    </row>
    <row r="104" spans="1:12" x14ac:dyDescent="0.3">
      <c r="A104" t="s">
        <v>8</v>
      </c>
      <c r="B104" t="str">
        <f>"TA4"</f>
        <v>TA4</v>
      </c>
      <c r="C104">
        <f>C103+1</f>
        <v>15</v>
      </c>
      <c r="D104" s="2" t="str" cm="1">
        <f t="array" ref="D104">A104&amp;B104&amp;_xlfn.IFS(C104 &lt; 10,"B00"&amp;C104,AND(C104 &gt;= 10,C104 &lt; 100),"B0"&amp;C104,C104 &gt;= 100,"B"&amp;C104)</f>
        <v>SMTA4B015</v>
      </c>
      <c r="E104" t="s">
        <v>53</v>
      </c>
      <c r="F104" s="2" t="str">
        <f>SUBSTITUTE(E104,"DLP"," ")</f>
        <v>Full Blast Plus 4</v>
      </c>
      <c r="G104" t="s">
        <v>36</v>
      </c>
      <c r="H104" s="2" t="str" cm="1">
        <f t="array" ref="H104">_xlfn.IFS(G104 = "KSSR","Kokurikulum Standard Sekolah Rendah",G104 = "KSSM","Kokurikulum Standard Sekolah Menengah",G104 = "KBDKBT","Kokurikulum Bersepadu Dini dan Kokurikulum Bersepadu Tahfiz",G104 = "SSeM","Sekolah Seni Malaysia",G104 = "KC","Kesusasteraan Cina",G104 = "KSSMPK","Pendidikan Khas",G104 = "MPEI","Mata Pelajaran Elektif Ikhtisas",G104 = "MPET","Mata Pelajaran Elektif Teknikal",G104 = "MPV","Mata Pelajaran Vokasional",G104 = "MPAK","Mata Pelajaran Aliran Kebangsaan")</f>
        <v>Kokurikulum Standard Sekolah Menengah</v>
      </c>
      <c r="I104" t="str" cm="1">
        <f t="array" ref="I104">_xlfn.IFS(A104="SR","Sekolah Rendah",A104="SM","Sekolah Menengah")</f>
        <v>Sekolah Menengah</v>
      </c>
      <c r="J104" s="1" t="str" cm="1">
        <f t="array" ref="J104">_xlfn.SWITCH(B104,"T1","Tahun 1","T2","Tahun 2","T3","Tahun 3","T4","Tahun 4","T5","Tahun 5","T6","Tahun 6","TB1","Tingkatan 1","TB2","Tingkatan 2","TB3","Tingkatan 3","TA4","Tingkatan 4","TA5","Tingkatan 5")</f>
        <v>Tingkatan 4</v>
      </c>
      <c r="K104" t="b">
        <f>IF(COUNTIF(E104,"*DLP*"),TRUE)</f>
        <v>0</v>
      </c>
      <c r="L104" t="s">
        <v>130</v>
      </c>
    </row>
    <row r="105" spans="1:12" x14ac:dyDescent="0.3">
      <c r="A105" t="s">
        <v>8</v>
      </c>
      <c r="B105" t="str">
        <f>"TA4"</f>
        <v>TA4</v>
      </c>
      <c r="C105">
        <f>C104+1</f>
        <v>16</v>
      </c>
      <c r="D105" s="2" t="str" cm="1">
        <f t="array" ref="D105">A105&amp;B105&amp;_xlfn.IFS(C105 &lt; 10,"B00"&amp;C105,AND(C105 &gt;= 10,C105 &lt; 100),"B0"&amp;C105,C105 &gt;= 100,"B"&amp;C105)</f>
        <v>SMTA4B016</v>
      </c>
      <c r="E105" t="s">
        <v>17</v>
      </c>
      <c r="F105" s="2" t="str">
        <f>SUBSTITUTE(E105,"DLP"," ")</f>
        <v>Geografi</v>
      </c>
      <c r="G105" t="s">
        <v>36</v>
      </c>
      <c r="H105" s="2" t="str" cm="1">
        <f t="array" ref="H105">_xlfn.IFS(G105 = "KSSR","Kokurikulum Standard Sekolah Rendah",G105 = "KSSM","Kokurikulum Standard Sekolah Menengah",G105 = "KBDKBT","Kokurikulum Bersepadu Dini dan Kokurikulum Bersepadu Tahfiz",G105 = "SSeM","Sekolah Seni Malaysia",G105 = "KC","Kesusasteraan Cina",G105 = "KSSMPK","Pendidikan Khas",G105 = "MPEI","Mata Pelajaran Elektif Ikhtisas",G105 = "MPET","Mata Pelajaran Elektif Teknikal",G105 = "MPV","Mata Pelajaran Vokasional",G105 = "MPAK","Mata Pelajaran Aliran Kebangsaan")</f>
        <v>Kokurikulum Standard Sekolah Menengah</v>
      </c>
      <c r="I105" t="str" cm="1">
        <f t="array" ref="I105">_xlfn.IFS(A105="SR","Sekolah Rendah",A105="SM","Sekolah Menengah")</f>
        <v>Sekolah Menengah</v>
      </c>
      <c r="J105" s="1" t="str" cm="1">
        <f t="array" ref="J105">_xlfn.SWITCH(B105,"T1","Tahun 1","T2","Tahun 2","T3","Tahun 3","T4","Tahun 4","T5","Tahun 5","T6","Tahun 6","TB1","Tingkatan 1","TB2","Tingkatan 2","TB3","Tingkatan 3","TA4","Tingkatan 4","TA5","Tingkatan 5")</f>
        <v>Tingkatan 4</v>
      </c>
      <c r="K105" t="b">
        <f>IF(COUNTIF(E105,"*DLP*"),TRUE)</f>
        <v>0</v>
      </c>
      <c r="L105" t="s">
        <v>130</v>
      </c>
    </row>
    <row r="106" spans="1:12" x14ac:dyDescent="0.3">
      <c r="A106" t="s">
        <v>8</v>
      </c>
      <c r="B106" t="str">
        <f>"TA4"</f>
        <v>TA4</v>
      </c>
      <c r="C106">
        <f>C105+1</f>
        <v>17</v>
      </c>
      <c r="D106" s="2" t="str" cm="1">
        <f t="array" ref="D106">A106&amp;B106&amp;_xlfn.IFS(C106 &lt; 10,"B00"&amp;C106,AND(C106 &gt;= 10,C106 &lt; 100),"B0"&amp;C106,C106 &gt;= 100,"B"&amp;C106)</f>
        <v>SMTA4B017</v>
      </c>
      <c r="E106" t="s">
        <v>60</v>
      </c>
      <c r="F106" s="2" t="str">
        <f>SUBSTITUTE(E106,"DLP"," ")</f>
        <v>Kimia</v>
      </c>
      <c r="G106" t="s">
        <v>36</v>
      </c>
      <c r="H106" s="2" t="str" cm="1">
        <f t="array" ref="H106">_xlfn.IFS(G106 = "KSSR","Kokurikulum Standard Sekolah Rendah",G106 = "KSSM","Kokurikulum Standard Sekolah Menengah",G106 = "KBDKBT","Kokurikulum Bersepadu Dini dan Kokurikulum Bersepadu Tahfiz",G106 = "SSeM","Sekolah Seni Malaysia",G106 = "KC","Kesusasteraan Cina",G106 = "KSSMPK","Pendidikan Khas",G106 = "MPEI","Mata Pelajaran Elektif Ikhtisas",G106 = "MPET","Mata Pelajaran Elektif Teknikal",G106 = "MPV","Mata Pelajaran Vokasional",G106 = "MPAK","Mata Pelajaran Aliran Kebangsaan")</f>
        <v>Kokurikulum Standard Sekolah Menengah</v>
      </c>
      <c r="I106" t="str" cm="1">
        <f t="array" ref="I106">_xlfn.IFS(A106="SR","Sekolah Rendah",A106="SM","Sekolah Menengah")</f>
        <v>Sekolah Menengah</v>
      </c>
      <c r="J106" s="1" t="str" cm="1">
        <f t="array" ref="J106">_xlfn.SWITCH(B106,"T1","Tahun 1","T2","Tahun 2","T3","Tahun 3","T4","Tahun 4","T5","Tahun 5","T6","Tahun 6","TB1","Tingkatan 1","TB2","Tingkatan 2","TB3","Tingkatan 3","TA4","Tingkatan 4","TA5","Tingkatan 5")</f>
        <v>Tingkatan 4</v>
      </c>
      <c r="K106" t="b">
        <f>IF(COUNTIF(E106,"*DLP*"),TRUE)</f>
        <v>0</v>
      </c>
      <c r="L106" t="s">
        <v>130</v>
      </c>
    </row>
    <row r="107" spans="1:12" x14ac:dyDescent="0.3">
      <c r="A107" t="s">
        <v>8</v>
      </c>
      <c r="B107" t="str">
        <f>"TA4"</f>
        <v>TA4</v>
      </c>
      <c r="C107">
        <f>C106+1</f>
        <v>18</v>
      </c>
      <c r="D107" s="2" t="str" cm="1">
        <f t="array" ref="D107">A107&amp;B107&amp;_xlfn.IFS(C107 &lt; 10,"B00"&amp;C107,AND(C107 &gt;= 10,C107 &lt; 100),"B0"&amp;C107,C107 &gt;= 100,"B"&amp;C107)</f>
        <v>SMTA4B018</v>
      </c>
      <c r="E107" t="s">
        <v>11</v>
      </c>
      <c r="F107" s="2" t="str">
        <f>SUBSTITUTE(E107,"DLP"," ")</f>
        <v>Matematik</v>
      </c>
      <c r="G107" t="s">
        <v>36</v>
      </c>
      <c r="H107" s="2" t="str" cm="1">
        <f t="array" ref="H107">_xlfn.IFS(G107 = "KSSR","Kokurikulum Standard Sekolah Rendah",G107 = "KSSM","Kokurikulum Standard Sekolah Menengah",G107 = "KBDKBT","Kokurikulum Bersepadu Dini dan Kokurikulum Bersepadu Tahfiz",G107 = "SSeM","Sekolah Seni Malaysia",G107 = "KC","Kesusasteraan Cina",G107 = "KSSMPK","Pendidikan Khas",G107 = "MPEI","Mata Pelajaran Elektif Ikhtisas",G107 = "MPET","Mata Pelajaran Elektif Teknikal",G107 = "MPV","Mata Pelajaran Vokasional",G107 = "MPAK","Mata Pelajaran Aliran Kebangsaan")</f>
        <v>Kokurikulum Standard Sekolah Menengah</v>
      </c>
      <c r="I107" t="str" cm="1">
        <f t="array" ref="I107">_xlfn.IFS(A107="SR","Sekolah Rendah",A107="SM","Sekolah Menengah")</f>
        <v>Sekolah Menengah</v>
      </c>
      <c r="J107" s="1" t="str" cm="1">
        <f t="array" ref="J107">_xlfn.SWITCH(B107,"T1","Tahun 1","T2","Tahun 2","T3","Tahun 3","T4","Tahun 4","T5","Tahun 5","T6","Tahun 6","TB1","Tingkatan 1","TB2","Tingkatan 2","TB3","Tingkatan 3","TA4","Tingkatan 4","TA5","Tingkatan 5")</f>
        <v>Tingkatan 4</v>
      </c>
      <c r="K107" t="b">
        <f>IF(COUNTIF(E107,"*DLP*"),TRUE)</f>
        <v>0</v>
      </c>
      <c r="L107" t="s">
        <v>130</v>
      </c>
    </row>
    <row r="108" spans="1:12" x14ac:dyDescent="0.3">
      <c r="A108" t="s">
        <v>8</v>
      </c>
      <c r="B108" t="str">
        <f>"TA4"</f>
        <v>TA4</v>
      </c>
      <c r="C108">
        <f>C107+1</f>
        <v>19</v>
      </c>
      <c r="D108" s="2" t="str" cm="1">
        <f t="array" ref="D108">A108&amp;B108&amp;_xlfn.IFS(C108 &lt; 10,"B00"&amp;C108,AND(C108 &gt;= 10,C108 &lt; 100),"B0"&amp;C108,C108 &gt;= 100,"B"&amp;C108)</f>
        <v>SMTA4B019</v>
      </c>
      <c r="E108" t="s">
        <v>55</v>
      </c>
      <c r="F108" s="2" t="str">
        <f>SUBSTITUTE(E108,"DLP"," ")</f>
        <v>Matematik Tambahan</v>
      </c>
      <c r="G108" t="s">
        <v>36</v>
      </c>
      <c r="H108" s="2" t="str" cm="1">
        <f t="array" ref="H108">_xlfn.IFS(G108 = "KSSR","Kokurikulum Standard Sekolah Rendah",G108 = "KSSM","Kokurikulum Standard Sekolah Menengah",G108 = "KBDKBT","Kokurikulum Bersepadu Dini dan Kokurikulum Bersepadu Tahfiz",G108 = "SSeM","Sekolah Seni Malaysia",G108 = "KC","Kesusasteraan Cina",G108 = "KSSMPK","Pendidikan Khas",G108 = "MPEI","Mata Pelajaran Elektif Ikhtisas",G108 = "MPET","Mata Pelajaran Elektif Teknikal",G108 = "MPV","Mata Pelajaran Vokasional",G108 = "MPAK","Mata Pelajaran Aliran Kebangsaan")</f>
        <v>Kokurikulum Standard Sekolah Menengah</v>
      </c>
      <c r="I108" t="str" cm="1">
        <f t="array" ref="I108">_xlfn.IFS(A108="SR","Sekolah Rendah",A108="SM","Sekolah Menengah")</f>
        <v>Sekolah Menengah</v>
      </c>
      <c r="J108" s="1" t="str" cm="1">
        <f t="array" ref="J108">_xlfn.SWITCH(B108,"T1","Tahun 1","T2","Tahun 2","T3","Tahun 3","T4","Tahun 4","T5","Tahun 5","T6","Tahun 6","TB1","Tingkatan 1","TB2","Tingkatan 2","TB3","Tingkatan 3","TA4","Tingkatan 4","TA5","Tingkatan 5")</f>
        <v>Tingkatan 4</v>
      </c>
      <c r="K108" t="b">
        <f>IF(COUNTIF(E108,"*DLP*"),TRUE)</f>
        <v>0</v>
      </c>
      <c r="L108" t="s">
        <v>130</v>
      </c>
    </row>
    <row r="109" spans="1:12" x14ac:dyDescent="0.3">
      <c r="A109" t="s">
        <v>8</v>
      </c>
      <c r="B109" t="str">
        <f>"TA4"</f>
        <v>TA4</v>
      </c>
      <c r="C109">
        <f>C108+1</f>
        <v>20</v>
      </c>
      <c r="D109" s="2" t="str" cm="1">
        <f t="array" ref="D109">A109&amp;B109&amp;_xlfn.IFS(C109 &lt; 10,"B00"&amp;C109,AND(C109 &gt;= 10,C109 &lt; 100),"B0"&amp;C109,C109 &gt;= 100,"B"&amp;C109)</f>
        <v>SMTA4B020</v>
      </c>
      <c r="E109" t="s">
        <v>14</v>
      </c>
      <c r="F109" s="2" t="str">
        <f>SUBSTITUTE(E109,"DLP"," ")</f>
        <v xml:space="preserve">Mathematics  </v>
      </c>
      <c r="G109" t="s">
        <v>36</v>
      </c>
      <c r="H109" s="2" t="str" cm="1">
        <f t="array" ref="H109">_xlfn.IFS(G109 = "KSSR","Kokurikulum Standard Sekolah Rendah",G109 = "KSSM","Kokurikulum Standard Sekolah Menengah",G109 = "KBDKBT","Kokurikulum Bersepadu Dini dan Kokurikulum Bersepadu Tahfiz",G109 = "SSeM","Sekolah Seni Malaysia",G109 = "KC","Kesusasteraan Cina",G109 = "KSSMPK","Pendidikan Khas",G109 = "MPEI","Mata Pelajaran Elektif Ikhtisas",G109 = "MPET","Mata Pelajaran Elektif Teknikal",G109 = "MPV","Mata Pelajaran Vokasional",G109 = "MPAK","Mata Pelajaran Aliran Kebangsaan")</f>
        <v>Kokurikulum Standard Sekolah Menengah</v>
      </c>
      <c r="I109" t="str" cm="1">
        <f t="array" ref="I109">_xlfn.IFS(A109="SR","Sekolah Rendah",A109="SM","Sekolah Menengah")</f>
        <v>Sekolah Menengah</v>
      </c>
      <c r="J109" s="1" t="str" cm="1">
        <f t="array" ref="J109">_xlfn.SWITCH(B109,"T1","Tahun 1","T2","Tahun 2","T3","Tahun 3","T4","Tahun 4","T5","Tahun 5","T6","Tahun 6","TB1","Tingkatan 1","TB2","Tingkatan 2","TB3","Tingkatan 3","TA4","Tingkatan 4","TA5","Tingkatan 5")</f>
        <v>Tingkatan 4</v>
      </c>
      <c r="K109" t="b">
        <f>IF(COUNTIF(E109,"*DLP*"),TRUE)</f>
        <v>1</v>
      </c>
      <c r="L109" t="s">
        <v>130</v>
      </c>
    </row>
    <row r="110" spans="1:12" x14ac:dyDescent="0.3">
      <c r="A110" t="s">
        <v>8</v>
      </c>
      <c r="B110" t="str">
        <f>"TA4"</f>
        <v>TA4</v>
      </c>
      <c r="C110">
        <f>C109+1</f>
        <v>21</v>
      </c>
      <c r="D110" s="2" t="str" cm="1">
        <f t="array" ref="D110">A110&amp;B110&amp;_xlfn.IFS(C110 &lt; 10,"B00"&amp;C110,AND(C110 &gt;= 10,C110 &lt; 100),"B0"&amp;C110,C110 &gt;= 100,"B"&amp;C110)</f>
        <v>SMTA4B021</v>
      </c>
      <c r="E110" t="s">
        <v>66</v>
      </c>
      <c r="F110" s="2" t="str">
        <f>SUBSTITUTE(E110,"DLP"," ")</f>
        <v>Pendidikan Al-Quran dan Al-Sunnah</v>
      </c>
      <c r="G110" t="s">
        <v>36</v>
      </c>
      <c r="H110" s="2" t="str" cm="1">
        <f t="array" ref="H110">_xlfn.IFS(G110 = "KSSR","Kokurikulum Standard Sekolah Rendah",G110 = "KSSM","Kokurikulum Standard Sekolah Menengah",G110 = "KBDKBT","Kokurikulum Bersepadu Dini dan Kokurikulum Bersepadu Tahfiz",G110 = "SSeM","Sekolah Seni Malaysia",G110 = "KC","Kesusasteraan Cina",G110 = "KSSMPK","Pendidikan Khas",G110 = "MPEI","Mata Pelajaran Elektif Ikhtisas",G110 = "MPET","Mata Pelajaran Elektif Teknikal",G110 = "MPV","Mata Pelajaran Vokasional",G110 = "MPAK","Mata Pelajaran Aliran Kebangsaan")</f>
        <v>Kokurikulum Standard Sekolah Menengah</v>
      </c>
      <c r="I110" t="str" cm="1">
        <f t="array" ref="I110">_xlfn.IFS(A110="SR","Sekolah Rendah",A110="SM","Sekolah Menengah")</f>
        <v>Sekolah Menengah</v>
      </c>
      <c r="J110" s="1" t="str" cm="1">
        <f t="array" ref="J110">_xlfn.SWITCH(B110,"T1","Tahun 1","T2","Tahun 2","T3","Tahun 3","T4","Tahun 4","T5","Tahun 5","T6","Tahun 6","TB1","Tingkatan 1","TB2","Tingkatan 2","TB3","Tingkatan 3","TA4","Tingkatan 4","TA5","Tingkatan 5")</f>
        <v>Tingkatan 4</v>
      </c>
      <c r="K110" t="b">
        <f>IF(COUNTIF(E110,"*DLP*"),TRUE)</f>
        <v>0</v>
      </c>
      <c r="L110" t="s">
        <v>130</v>
      </c>
    </row>
    <row r="111" spans="1:12" x14ac:dyDescent="0.3">
      <c r="A111" t="s">
        <v>8</v>
      </c>
      <c r="B111" t="str">
        <f>"TA4"</f>
        <v>TA4</v>
      </c>
      <c r="C111">
        <f>C110+1</f>
        <v>22</v>
      </c>
      <c r="D111" s="2" t="str" cm="1">
        <f t="array" ref="D111">A111&amp;B111&amp;_xlfn.IFS(C111 &lt; 10,"B00"&amp;C111,AND(C111 &gt;= 10,C111 &lt; 100),"B0"&amp;C111,C111 &gt;= 100,"B"&amp;C111)</f>
        <v>SMTA4B022</v>
      </c>
      <c r="E111" t="s">
        <v>25</v>
      </c>
      <c r="F111" s="2" t="str">
        <f>SUBSTITUTE(E111,"DLP"," ")</f>
        <v>Pendidikan Islam</v>
      </c>
      <c r="G111" t="s">
        <v>36</v>
      </c>
      <c r="H111" s="2" t="str" cm="1">
        <f t="array" ref="H111">_xlfn.IFS(G111 = "KSSR","Kokurikulum Standard Sekolah Rendah",G111 = "KSSM","Kokurikulum Standard Sekolah Menengah",G111 = "KBDKBT","Kokurikulum Bersepadu Dini dan Kokurikulum Bersepadu Tahfiz",G111 = "SSeM","Sekolah Seni Malaysia",G111 = "KC","Kesusasteraan Cina",G111 = "KSSMPK","Pendidikan Khas",G111 = "MPEI","Mata Pelajaran Elektif Ikhtisas",G111 = "MPET","Mata Pelajaran Elektif Teknikal",G111 = "MPV","Mata Pelajaran Vokasional",G111 = "MPAK","Mata Pelajaran Aliran Kebangsaan")</f>
        <v>Kokurikulum Standard Sekolah Menengah</v>
      </c>
      <c r="I111" t="str" cm="1">
        <f t="array" ref="I111">_xlfn.IFS(A111="SR","Sekolah Rendah",A111="SM","Sekolah Menengah")</f>
        <v>Sekolah Menengah</v>
      </c>
      <c r="J111" s="1" t="str" cm="1">
        <f t="array" ref="J111">_xlfn.SWITCH(B111,"T1","Tahun 1","T2","Tahun 2","T3","Tahun 3","T4","Tahun 4","T5","Tahun 5","T6","Tahun 6","TB1","Tingkatan 1","TB2","Tingkatan 2","TB3","Tingkatan 3","TA4","Tingkatan 4","TA5","Tingkatan 5")</f>
        <v>Tingkatan 4</v>
      </c>
      <c r="K111" t="b">
        <f>IF(COUNTIF(E111,"*DLP*"),TRUE)</f>
        <v>0</v>
      </c>
      <c r="L111" t="s">
        <v>130</v>
      </c>
    </row>
    <row r="112" spans="1:12" x14ac:dyDescent="0.3">
      <c r="A112" t="s">
        <v>8</v>
      </c>
      <c r="B112" t="str">
        <f>"TA4"</f>
        <v>TA4</v>
      </c>
      <c r="C112">
        <f>C111+1</f>
        <v>23</v>
      </c>
      <c r="D112" s="2" t="str" cm="1">
        <f t="array" ref="D112">A112&amp;B112&amp;_xlfn.IFS(C112 &lt; 10,"B00"&amp;C112,AND(C112 &gt;= 10,C112 &lt; 100),"B0"&amp;C112,C112 &gt;= 100,"B"&amp;C112)</f>
        <v>SMTA4B023</v>
      </c>
      <c r="E112" t="s">
        <v>26</v>
      </c>
      <c r="F112" s="2" t="str">
        <f>SUBSTITUTE(E112,"DLP"," ")</f>
        <v>Pendidikan Jasmani dan Pendidikan Kesihatan</v>
      </c>
      <c r="G112" t="s">
        <v>36</v>
      </c>
      <c r="H112" s="2" t="str" cm="1">
        <f t="array" ref="H112">_xlfn.IFS(G112 = "KSSR","Kokurikulum Standard Sekolah Rendah",G112 = "KSSM","Kokurikulum Standard Sekolah Menengah",G112 = "KBDKBT","Kokurikulum Bersepadu Dini dan Kokurikulum Bersepadu Tahfiz",G112 = "SSeM","Sekolah Seni Malaysia",G112 = "KC","Kesusasteraan Cina",G112 = "KSSMPK","Pendidikan Khas",G112 = "MPEI","Mata Pelajaran Elektif Ikhtisas",G112 = "MPET","Mata Pelajaran Elektif Teknikal",G112 = "MPV","Mata Pelajaran Vokasional",G112 = "MPAK","Mata Pelajaran Aliran Kebangsaan")</f>
        <v>Kokurikulum Standard Sekolah Menengah</v>
      </c>
      <c r="I112" t="str" cm="1">
        <f t="array" ref="I112">_xlfn.IFS(A112="SR","Sekolah Rendah",A112="SM","Sekolah Menengah")</f>
        <v>Sekolah Menengah</v>
      </c>
      <c r="J112" s="1" t="str" cm="1">
        <f t="array" ref="J112">_xlfn.SWITCH(B112,"T1","Tahun 1","T2","Tahun 2","T3","Tahun 3","T4","Tahun 4","T5","Tahun 5","T6","Tahun 6","TB1","Tingkatan 1","TB2","Tingkatan 2","TB3","Tingkatan 3","TA4","Tingkatan 4","TA5","Tingkatan 5")</f>
        <v>Tingkatan 4</v>
      </c>
      <c r="K112" t="b">
        <f>IF(COUNTIF(E112,"*DLP*"),TRUE)</f>
        <v>0</v>
      </c>
      <c r="L112" t="s">
        <v>130</v>
      </c>
    </row>
    <row r="113" spans="1:12" x14ac:dyDescent="0.3">
      <c r="A113" t="s">
        <v>8</v>
      </c>
      <c r="B113" t="str">
        <f>"TA4"</f>
        <v>TA4</v>
      </c>
      <c r="C113">
        <f>C112+1</f>
        <v>24</v>
      </c>
      <c r="D113" s="2" t="str" cm="1">
        <f t="array" ref="D113">A113&amp;B113&amp;_xlfn.IFS(C113 &lt; 10,"B00"&amp;C113,AND(C113 &gt;= 10,C113 &lt; 100),"B0"&amp;C113,C113 &gt;= 100,"B"&amp;C113)</f>
        <v>SMTA4B024</v>
      </c>
      <c r="E113" t="s">
        <v>27</v>
      </c>
      <c r="F113" s="2" t="str">
        <f>SUBSTITUTE(E113,"DLP"," ")</f>
        <v>Pendidikan Moral</v>
      </c>
      <c r="G113" t="s">
        <v>36</v>
      </c>
      <c r="H113" s="2" t="str" cm="1">
        <f t="array" ref="H113">_xlfn.IFS(G113 = "KSSR","Kokurikulum Standard Sekolah Rendah",G113 = "KSSM","Kokurikulum Standard Sekolah Menengah",G113 = "KBDKBT","Kokurikulum Bersepadu Dini dan Kokurikulum Bersepadu Tahfiz",G113 = "SSeM","Sekolah Seni Malaysia",G113 = "KC","Kesusasteraan Cina",G113 = "KSSMPK","Pendidikan Khas",G113 = "MPEI","Mata Pelajaran Elektif Ikhtisas",G113 = "MPET","Mata Pelajaran Elektif Teknikal",G113 = "MPV","Mata Pelajaran Vokasional",G113 = "MPAK","Mata Pelajaran Aliran Kebangsaan")</f>
        <v>Kokurikulum Standard Sekolah Menengah</v>
      </c>
      <c r="I113" t="str" cm="1">
        <f t="array" ref="I113">_xlfn.IFS(A113="SR","Sekolah Rendah",A113="SM","Sekolah Menengah")</f>
        <v>Sekolah Menengah</v>
      </c>
      <c r="J113" s="1" t="str" cm="1">
        <f t="array" ref="J113">_xlfn.SWITCH(B113,"T1","Tahun 1","T2","Tahun 2","T3","Tahun 3","T4","Tahun 4","T5","Tahun 5","T6","Tahun 6","TB1","Tingkatan 1","TB2","Tingkatan 2","TB3","Tingkatan 3","TA4","Tingkatan 4","TA5","Tingkatan 5")</f>
        <v>Tingkatan 4</v>
      </c>
      <c r="K113" t="b">
        <f>IF(COUNTIF(E113,"*DLP*"),TRUE)</f>
        <v>0</v>
      </c>
      <c r="L113" t="s">
        <v>130</v>
      </c>
    </row>
    <row r="114" spans="1:12" x14ac:dyDescent="0.3">
      <c r="A114" t="s">
        <v>8</v>
      </c>
      <c r="B114" t="str">
        <f>"TA4"</f>
        <v>TA4</v>
      </c>
      <c r="C114">
        <f>C113+1</f>
        <v>25</v>
      </c>
      <c r="D114" s="2" t="str" cm="1">
        <f t="array" ref="D114">A114&amp;B114&amp;_xlfn.IFS(C114 &lt; 10,"B00"&amp;C114,AND(C114 &gt;= 10,C114 &lt; 100),"B0"&amp;C114,C114 &gt;= 100,"B"&amp;C114)</f>
        <v>SMTA4B025</v>
      </c>
      <c r="E114" t="s">
        <v>47</v>
      </c>
      <c r="F114" s="2" t="str">
        <f>SUBSTITUTE(E114,"DLP"," ")</f>
        <v>Pendidikan Muzik</v>
      </c>
      <c r="G114" t="s">
        <v>36</v>
      </c>
      <c r="H114" s="2" t="str" cm="1">
        <f t="array" ref="H114">_xlfn.IFS(G114 = "KSSR","Kokurikulum Standard Sekolah Rendah",G114 = "KSSM","Kokurikulum Standard Sekolah Menengah",G114 = "KBDKBT","Kokurikulum Bersepadu Dini dan Kokurikulum Bersepadu Tahfiz",G114 = "SSeM","Sekolah Seni Malaysia",G114 = "KC","Kesusasteraan Cina",G114 = "KSSMPK","Pendidikan Khas",G114 = "MPEI","Mata Pelajaran Elektif Ikhtisas",G114 = "MPET","Mata Pelajaran Elektif Teknikal",G114 = "MPV","Mata Pelajaran Vokasional",G114 = "MPAK","Mata Pelajaran Aliran Kebangsaan")</f>
        <v>Kokurikulum Standard Sekolah Menengah</v>
      </c>
      <c r="I114" t="str" cm="1">
        <f t="array" ref="I114">_xlfn.IFS(A114="SR","Sekolah Rendah",A114="SM","Sekolah Menengah")</f>
        <v>Sekolah Menengah</v>
      </c>
      <c r="J114" s="1" t="str" cm="1">
        <f t="array" ref="J114">_xlfn.SWITCH(B114,"T1","Tahun 1","T2","Tahun 2","T3","Tahun 3","T4","Tahun 4","T5","Tahun 5","T6","Tahun 6","TB1","Tingkatan 1","TB2","Tingkatan 2","TB3","Tingkatan 3","TA4","Tingkatan 4","TA5","Tingkatan 5")</f>
        <v>Tingkatan 4</v>
      </c>
      <c r="K114" t="b">
        <f>IF(COUNTIF(E114,"*DLP*"),TRUE)</f>
        <v>0</v>
      </c>
      <c r="L114" t="s">
        <v>130</v>
      </c>
    </row>
    <row r="115" spans="1:12" x14ac:dyDescent="0.3">
      <c r="A115" t="s">
        <v>8</v>
      </c>
      <c r="B115" t="str">
        <f>"TA4"</f>
        <v>TA4</v>
      </c>
      <c r="C115">
        <f>C114+1</f>
        <v>26</v>
      </c>
      <c r="D115" s="2" t="str" cm="1">
        <f t="array" ref="D115">A115&amp;B115&amp;_xlfn.IFS(C115 &lt; 10,"B00"&amp;C115,AND(C115 &gt;= 10,C115 &lt; 100),"B0"&amp;C115,C115 &gt;= 100,"B"&amp;C115)</f>
        <v>SMTA4B026</v>
      </c>
      <c r="E115" t="s">
        <v>24</v>
      </c>
      <c r="F115" s="2" t="str">
        <f>SUBSTITUTE(E115,"DLP"," ")</f>
        <v>Pendidikan Seni Visual</v>
      </c>
      <c r="G115" t="s">
        <v>36</v>
      </c>
      <c r="H115" s="2" t="str" cm="1">
        <f t="array" ref="H115">_xlfn.IFS(G115 = "KSSR","Kokurikulum Standard Sekolah Rendah",G115 = "KSSM","Kokurikulum Standard Sekolah Menengah",G115 = "KBDKBT","Kokurikulum Bersepadu Dini dan Kokurikulum Bersepadu Tahfiz",G115 = "SSeM","Sekolah Seni Malaysia",G115 = "KC","Kesusasteraan Cina",G115 = "KSSMPK","Pendidikan Khas",G115 = "MPEI","Mata Pelajaran Elektif Ikhtisas",G115 = "MPET","Mata Pelajaran Elektif Teknikal",G115 = "MPV","Mata Pelajaran Vokasional",G115 = "MPAK","Mata Pelajaran Aliran Kebangsaan")</f>
        <v>Kokurikulum Standard Sekolah Menengah</v>
      </c>
      <c r="I115" t="str" cm="1">
        <f t="array" ref="I115">_xlfn.IFS(A115="SR","Sekolah Rendah",A115="SM","Sekolah Menengah")</f>
        <v>Sekolah Menengah</v>
      </c>
      <c r="J115" s="1" t="str" cm="1">
        <f t="array" ref="J115">_xlfn.SWITCH(B115,"T1","Tahun 1","T2","Tahun 2","T3","Tahun 3","T4","Tahun 4","T5","Tahun 5","T6","Tahun 6","TB1","Tingkatan 1","TB2","Tingkatan 2","TB3","Tingkatan 3","TA4","Tingkatan 4","TA5","Tingkatan 5")</f>
        <v>Tingkatan 4</v>
      </c>
      <c r="K115" t="b">
        <f>IF(COUNTIF(E115,"*DLP*"),TRUE)</f>
        <v>0</v>
      </c>
      <c r="L115" t="s">
        <v>130</v>
      </c>
    </row>
    <row r="116" spans="1:12" x14ac:dyDescent="0.3">
      <c r="A116" t="s">
        <v>8</v>
      </c>
      <c r="B116" t="str">
        <f>"TA4"</f>
        <v>TA4</v>
      </c>
      <c r="C116">
        <f>C115+1</f>
        <v>27</v>
      </c>
      <c r="D116" s="2" t="str" cm="1">
        <f t="array" ref="D116">A116&amp;B116&amp;_xlfn.IFS(C116 &lt; 10,"B00"&amp;C116,AND(C116 &gt;= 10,C116 &lt; 100),"B0"&amp;C116,C116 &gt;= 100,"B"&amp;C116)</f>
        <v>SMTA4B027</v>
      </c>
      <c r="E116" t="s">
        <v>65</v>
      </c>
      <c r="F116" s="2" t="str">
        <f>SUBSTITUTE(E116,"DLP"," ")</f>
        <v>Pendidikan Syariah Islamiyah</v>
      </c>
      <c r="G116" t="s">
        <v>36</v>
      </c>
      <c r="H116" s="2" t="str" cm="1">
        <f t="array" ref="H116">_xlfn.IFS(G116 = "KSSR","Kokurikulum Standard Sekolah Rendah",G116 = "KSSM","Kokurikulum Standard Sekolah Menengah",G116 = "KBDKBT","Kokurikulum Bersepadu Dini dan Kokurikulum Bersepadu Tahfiz",G116 = "SSeM","Sekolah Seni Malaysia",G116 = "KC","Kesusasteraan Cina",G116 = "KSSMPK","Pendidikan Khas",G116 = "MPEI","Mata Pelajaran Elektif Ikhtisas",G116 = "MPET","Mata Pelajaran Elektif Teknikal",G116 = "MPV","Mata Pelajaran Vokasional",G116 = "MPAK","Mata Pelajaran Aliran Kebangsaan")</f>
        <v>Kokurikulum Standard Sekolah Menengah</v>
      </c>
      <c r="I116" t="str" cm="1">
        <f t="array" ref="I116">_xlfn.IFS(A116="SR","Sekolah Rendah",A116="SM","Sekolah Menengah")</f>
        <v>Sekolah Menengah</v>
      </c>
      <c r="J116" s="1" t="str" cm="1">
        <f t="array" ref="J116">_xlfn.SWITCH(B116,"T1","Tahun 1","T2","Tahun 2","T3","Tahun 3","T4","Tahun 4","T5","Tahun 5","T6","Tahun 6","TB1","Tingkatan 1","TB2","Tingkatan 2","TB3","Tingkatan 3","TA4","Tingkatan 4","TA5","Tingkatan 5")</f>
        <v>Tingkatan 4</v>
      </c>
      <c r="K116" t="b">
        <f>IF(COUNTIF(E116,"*DLP*"),TRUE)</f>
        <v>0</v>
      </c>
      <c r="L116" t="s">
        <v>130</v>
      </c>
    </row>
    <row r="117" spans="1:12" x14ac:dyDescent="0.3">
      <c r="A117" t="s">
        <v>8</v>
      </c>
      <c r="B117" t="str">
        <f>"TA4"</f>
        <v>TA4</v>
      </c>
      <c r="C117">
        <f>C116+1</f>
        <v>28</v>
      </c>
      <c r="D117" s="2" t="str" cm="1">
        <f t="array" ref="D117">A117&amp;B117&amp;_xlfn.IFS(C117 &lt; 10,"B00"&amp;C117,AND(C117 &gt;= 10,C117 &lt; 100),"B0"&amp;C117,C117 &gt;= 100,"B"&amp;C117)</f>
        <v>SMTA4B028</v>
      </c>
      <c r="E117" t="s">
        <v>63</v>
      </c>
      <c r="F117" s="2" t="str">
        <f>SUBSTITUTE(E117,"DLP"," ")</f>
        <v xml:space="preserve">Physics  </v>
      </c>
      <c r="G117" t="s">
        <v>36</v>
      </c>
      <c r="H117" s="2" t="str" cm="1">
        <f t="array" ref="H117">_xlfn.IFS(G117 = "KSSR","Kokurikulum Standard Sekolah Rendah",G117 = "KSSM","Kokurikulum Standard Sekolah Menengah",G117 = "KBDKBT","Kokurikulum Bersepadu Dini dan Kokurikulum Bersepadu Tahfiz",G117 = "SSeM","Sekolah Seni Malaysia",G117 = "KC","Kesusasteraan Cina",G117 = "KSSMPK","Pendidikan Khas",G117 = "MPEI","Mata Pelajaran Elektif Ikhtisas",G117 = "MPET","Mata Pelajaran Elektif Teknikal",G117 = "MPV","Mata Pelajaran Vokasional",G117 = "MPAK","Mata Pelajaran Aliran Kebangsaan")</f>
        <v>Kokurikulum Standard Sekolah Menengah</v>
      </c>
      <c r="I117" t="str" cm="1">
        <f t="array" ref="I117">_xlfn.IFS(A117="SR","Sekolah Rendah",A117="SM","Sekolah Menengah")</f>
        <v>Sekolah Menengah</v>
      </c>
      <c r="J117" s="1" t="str" cm="1">
        <f t="array" ref="J117">_xlfn.SWITCH(B117,"T1","Tahun 1","T2","Tahun 2","T3","Tahun 3","T4","Tahun 4","T5","Tahun 5","T6","Tahun 6","TB1","Tingkatan 1","TB2","Tingkatan 2","TB3","Tingkatan 3","TA4","Tingkatan 4","TA5","Tingkatan 5")</f>
        <v>Tingkatan 4</v>
      </c>
      <c r="K117" t="b">
        <f>IF(COUNTIF(E117,"*DLP*"),TRUE)</f>
        <v>1</v>
      </c>
      <c r="L117" t="s">
        <v>130</v>
      </c>
    </row>
    <row r="118" spans="1:12" x14ac:dyDescent="0.3">
      <c r="A118" t="s">
        <v>8</v>
      </c>
      <c r="B118" t="str">
        <f>"TA4"</f>
        <v>TA4</v>
      </c>
      <c r="C118">
        <f>C117+1</f>
        <v>29</v>
      </c>
      <c r="D118" s="2" t="str" cm="1">
        <f t="array" ref="D118">A118&amp;B118&amp;_xlfn.IFS(C118 &lt; 10,"B00"&amp;C118,AND(C118 &gt;= 10,C118 &lt; 100),"B0"&amp;C118,C118 &gt;= 100,"B"&amp;C118)</f>
        <v>SMTA4B029</v>
      </c>
      <c r="E118" t="s">
        <v>57</v>
      </c>
      <c r="F118" s="2" t="str">
        <f>SUBSTITUTE(E118,"DLP"," ")</f>
        <v>Prinsip Perakaunan</v>
      </c>
      <c r="G118" t="s">
        <v>36</v>
      </c>
      <c r="H118" s="2" t="str" cm="1">
        <f t="array" ref="H118">_xlfn.IFS(G118 = "KSSR","Kokurikulum Standard Sekolah Rendah",G118 = "KSSM","Kokurikulum Standard Sekolah Menengah",G118 = "KBDKBT","Kokurikulum Bersepadu Dini dan Kokurikulum Bersepadu Tahfiz",G118 = "SSeM","Sekolah Seni Malaysia",G118 = "KC","Kesusasteraan Cina",G118 = "KSSMPK","Pendidikan Khas",G118 = "MPEI","Mata Pelajaran Elektif Ikhtisas",G118 = "MPET","Mata Pelajaran Elektif Teknikal",G118 = "MPV","Mata Pelajaran Vokasional",G118 = "MPAK","Mata Pelajaran Aliran Kebangsaan")</f>
        <v>Kokurikulum Standard Sekolah Menengah</v>
      </c>
      <c r="I118" t="str" cm="1">
        <f t="array" ref="I118">_xlfn.IFS(A118="SR","Sekolah Rendah",A118="SM","Sekolah Menengah")</f>
        <v>Sekolah Menengah</v>
      </c>
      <c r="J118" s="1" t="str" cm="1">
        <f t="array" ref="J118">_xlfn.SWITCH(B118,"T1","Tahun 1","T2","Tahun 2","T3","Tahun 3","T4","Tahun 4","T5","Tahun 5","T6","Tahun 6","TB1","Tingkatan 1","TB2","Tingkatan 2","TB3","Tingkatan 3","TA4","Tingkatan 4","TA5","Tingkatan 5")</f>
        <v>Tingkatan 4</v>
      </c>
      <c r="K118" t="b">
        <f>IF(COUNTIF(E118,"*DLP*"),TRUE)</f>
        <v>0</v>
      </c>
      <c r="L118" t="s">
        <v>130</v>
      </c>
    </row>
    <row r="119" spans="1:12" x14ac:dyDescent="0.3">
      <c r="A119" t="s">
        <v>8</v>
      </c>
      <c r="B119" t="str">
        <f>"TA4"</f>
        <v>TA4</v>
      </c>
      <c r="C119">
        <f>C118+1</f>
        <v>30</v>
      </c>
      <c r="D119" s="2" t="str" cm="1">
        <f t="array" ref="D119">A119&amp;B119&amp;_xlfn.IFS(C119 &lt; 10,"B00"&amp;C119,AND(C119 &gt;= 10,C119 &lt; 100),"B0"&amp;C119,C119 &gt;= 100,"B"&amp;C119)</f>
        <v>SMTA4B030</v>
      </c>
      <c r="E119" t="s">
        <v>64</v>
      </c>
      <c r="F119" s="2" t="str">
        <f>SUBSTITUTE(E119,"DLP"," ")</f>
        <v>Reka Cipta</v>
      </c>
      <c r="G119" t="s">
        <v>36</v>
      </c>
      <c r="H119" s="2" t="str" cm="1">
        <f t="array" ref="H119">_xlfn.IFS(G119 = "KSSR","Kokurikulum Standard Sekolah Rendah",G119 = "KSSM","Kokurikulum Standard Sekolah Menengah",G119 = "KBDKBT","Kokurikulum Bersepadu Dini dan Kokurikulum Bersepadu Tahfiz",G119 = "SSeM","Sekolah Seni Malaysia",G119 = "KC","Kesusasteraan Cina",G119 = "KSSMPK","Pendidikan Khas",G119 = "MPEI","Mata Pelajaran Elektif Ikhtisas",G119 = "MPET","Mata Pelajaran Elektif Teknikal",G119 = "MPV","Mata Pelajaran Vokasional",G119 = "MPAK","Mata Pelajaran Aliran Kebangsaan")</f>
        <v>Kokurikulum Standard Sekolah Menengah</v>
      </c>
      <c r="I119" t="str" cm="1">
        <f t="array" ref="I119">_xlfn.IFS(A119="SR","Sekolah Rendah",A119="SM","Sekolah Menengah")</f>
        <v>Sekolah Menengah</v>
      </c>
      <c r="J119" s="1" t="str" cm="1">
        <f t="array" ref="J119">_xlfn.SWITCH(B119,"T1","Tahun 1","T2","Tahun 2","T3","Tahun 3","T4","Tahun 4","T5","Tahun 5","T6","Tahun 6","TB1","Tingkatan 1","TB2","Tingkatan 2","TB3","Tingkatan 3","TA4","Tingkatan 4","TA5","Tingkatan 5")</f>
        <v>Tingkatan 4</v>
      </c>
      <c r="K119" t="b">
        <f>IF(COUNTIF(E119,"*DLP*"),TRUE)</f>
        <v>0</v>
      </c>
      <c r="L119" t="s">
        <v>130</v>
      </c>
    </row>
    <row r="120" spans="1:12" x14ac:dyDescent="0.3">
      <c r="A120" t="s">
        <v>8</v>
      </c>
      <c r="B120" t="str">
        <f>"TA4"</f>
        <v>TA4</v>
      </c>
      <c r="C120">
        <f>C119+1</f>
        <v>31</v>
      </c>
      <c r="D120" s="2" t="str" cm="1">
        <f t="array" ref="D120">A120&amp;B120&amp;_xlfn.IFS(C120 &lt; 10,"B00"&amp;C120,AND(C120 &gt;= 10,C120 &lt; 100),"B0"&amp;C120,C120 &gt;= 100,"B"&amp;C120)</f>
        <v>SMTA4B031</v>
      </c>
      <c r="E120" t="s">
        <v>13</v>
      </c>
      <c r="F120" s="2" t="str">
        <f>SUBSTITUTE(E120,"DLP"," ")</f>
        <v>Sains</v>
      </c>
      <c r="G120" t="s">
        <v>36</v>
      </c>
      <c r="H120" s="2" t="str" cm="1">
        <f t="array" ref="H120">_xlfn.IFS(G120 = "KSSR","Kokurikulum Standard Sekolah Rendah",G120 = "KSSM","Kokurikulum Standard Sekolah Menengah",G120 = "KBDKBT","Kokurikulum Bersepadu Dini dan Kokurikulum Bersepadu Tahfiz",G120 = "SSeM","Sekolah Seni Malaysia",G120 = "KC","Kesusasteraan Cina",G120 = "KSSMPK","Pendidikan Khas",G120 = "MPEI","Mata Pelajaran Elektif Ikhtisas",G120 = "MPET","Mata Pelajaran Elektif Teknikal",G120 = "MPV","Mata Pelajaran Vokasional",G120 = "MPAK","Mata Pelajaran Aliran Kebangsaan")</f>
        <v>Kokurikulum Standard Sekolah Menengah</v>
      </c>
      <c r="I120" t="str" cm="1">
        <f t="array" ref="I120">_xlfn.IFS(A120="SR","Sekolah Rendah",A120="SM","Sekolah Menengah")</f>
        <v>Sekolah Menengah</v>
      </c>
      <c r="J120" s="1" t="str" cm="1">
        <f t="array" ref="J120">_xlfn.SWITCH(B120,"T1","Tahun 1","T2","Tahun 2","T3","Tahun 3","T4","Tahun 4","T5","Tahun 5","T6","Tahun 6","TB1","Tingkatan 1","TB2","Tingkatan 2","TB3","Tingkatan 3","TA4","Tingkatan 4","TA5","Tingkatan 5")</f>
        <v>Tingkatan 4</v>
      </c>
      <c r="K120" t="b">
        <f>IF(COUNTIF(E120,"*DLP*"),TRUE)</f>
        <v>0</v>
      </c>
      <c r="L120" t="s">
        <v>130</v>
      </c>
    </row>
    <row r="121" spans="1:12" x14ac:dyDescent="0.3">
      <c r="A121" t="s">
        <v>8</v>
      </c>
      <c r="B121" t="str">
        <f>"TA4"</f>
        <v>TA4</v>
      </c>
      <c r="C121">
        <f>C120+1</f>
        <v>32</v>
      </c>
      <c r="D121" s="2" t="str" cm="1">
        <f t="array" ref="D121">A121&amp;B121&amp;_xlfn.IFS(C121 &lt; 10,"B00"&amp;C121,AND(C121 &gt;= 10,C121 &lt; 100),"B0"&amp;C121,C121 &gt;= 100,"B"&amp;C121)</f>
        <v>SMTA4B032</v>
      </c>
      <c r="E121" t="s">
        <v>13</v>
      </c>
      <c r="F121" s="2" t="str">
        <f>SUBSTITUTE(E121,"DLP"," ")</f>
        <v>Sains</v>
      </c>
      <c r="G121" t="s">
        <v>36</v>
      </c>
      <c r="H121" s="2" t="str" cm="1">
        <f t="array" ref="H121">_xlfn.IFS(G121 = "KSSR","Kokurikulum Standard Sekolah Rendah",G121 = "KSSM","Kokurikulum Standard Sekolah Menengah",G121 = "KBDKBT","Kokurikulum Bersepadu Dini dan Kokurikulum Bersepadu Tahfiz",G121 = "SSeM","Sekolah Seni Malaysia",G121 = "KC","Kesusasteraan Cina",G121 = "KSSMPK","Pendidikan Khas",G121 = "MPEI","Mata Pelajaran Elektif Ikhtisas",G121 = "MPET","Mata Pelajaran Elektif Teknikal",G121 = "MPV","Mata Pelajaran Vokasional",G121 = "MPAK","Mata Pelajaran Aliran Kebangsaan")</f>
        <v>Kokurikulum Standard Sekolah Menengah</v>
      </c>
      <c r="I121" t="str" cm="1">
        <f t="array" ref="I121">_xlfn.IFS(A121="SR","Sekolah Rendah",A121="SM","Sekolah Menengah")</f>
        <v>Sekolah Menengah</v>
      </c>
      <c r="J121" s="1" t="str" cm="1">
        <f t="array" ref="J121">_xlfn.SWITCH(B121,"T1","Tahun 1","T2","Tahun 2","T3","Tahun 3","T4","Tahun 4","T5","Tahun 5","T6","Tahun 6","TB1","Tingkatan 1","TB2","Tingkatan 2","TB3","Tingkatan 3","TA4","Tingkatan 4","TA5","Tingkatan 5")</f>
        <v>Tingkatan 4</v>
      </c>
      <c r="K121" t="b">
        <f>IF(COUNTIF(E121,"*DLP*"),TRUE)</f>
        <v>0</v>
      </c>
      <c r="L121" t="s">
        <v>130</v>
      </c>
    </row>
    <row r="122" spans="1:12" x14ac:dyDescent="0.3">
      <c r="A122" t="s">
        <v>8</v>
      </c>
      <c r="B122" t="str">
        <f>"TA4"</f>
        <v>TA4</v>
      </c>
      <c r="C122">
        <f>C121+1</f>
        <v>33</v>
      </c>
      <c r="D122" s="2" t="str" cm="1">
        <f t="array" ref="D122">A122&amp;B122&amp;_xlfn.IFS(C122 &lt; 10,"B00"&amp;C122,AND(C122 &gt;= 10,C122 &lt; 100),"B0"&amp;C122,C122 &gt;= 100,"B"&amp;C122)</f>
        <v>SMTA4B033</v>
      </c>
      <c r="E122" t="s">
        <v>72</v>
      </c>
      <c r="F122" s="2" t="str">
        <f>SUBSTITUTE(E122,"DLP"," ")</f>
        <v>Sains Tambahan</v>
      </c>
      <c r="G122" t="s">
        <v>36</v>
      </c>
      <c r="H122" s="2" t="str" cm="1">
        <f t="array" ref="H122">_xlfn.IFS(G122 = "KSSR","Kokurikulum Standard Sekolah Rendah",G122 = "KSSM","Kokurikulum Standard Sekolah Menengah",G122 = "KBDKBT","Kokurikulum Bersepadu Dini dan Kokurikulum Bersepadu Tahfiz",G122 = "SSeM","Sekolah Seni Malaysia",G122 = "KC","Kesusasteraan Cina",G122 = "KSSMPK","Pendidikan Khas",G122 = "MPEI","Mata Pelajaran Elektif Ikhtisas",G122 = "MPET","Mata Pelajaran Elektif Teknikal",G122 = "MPV","Mata Pelajaran Vokasional",G122 = "MPAK","Mata Pelajaran Aliran Kebangsaan")</f>
        <v>Kokurikulum Standard Sekolah Menengah</v>
      </c>
      <c r="I122" t="str" cm="1">
        <f t="array" ref="I122">_xlfn.IFS(A122="SR","Sekolah Rendah",A122="SM","Sekolah Menengah")</f>
        <v>Sekolah Menengah</v>
      </c>
      <c r="J122" s="1" t="str" cm="1">
        <f t="array" ref="J122">_xlfn.SWITCH(B122,"T1","Tahun 1","T2","Tahun 2","T3","Tahun 3","T4","Tahun 4","T5","Tahun 5","T6","Tahun 6","TB1","Tingkatan 1","TB2","Tingkatan 2","TB3","Tingkatan 3","TA4","Tingkatan 4","TA5","Tingkatan 5")</f>
        <v>Tingkatan 4</v>
      </c>
      <c r="K122" t="b">
        <f>IF(COUNTIF(E122,"*DLP*"),TRUE)</f>
        <v>0</v>
      </c>
      <c r="L122" t="s">
        <v>130</v>
      </c>
    </row>
    <row r="123" spans="1:12" x14ac:dyDescent="0.3">
      <c r="A123" t="s">
        <v>8</v>
      </c>
      <c r="B123" t="str">
        <f>"TA4"</f>
        <v>TA4</v>
      </c>
      <c r="C123">
        <f>C122+1</f>
        <v>34</v>
      </c>
      <c r="D123" s="2" t="str" cm="1">
        <f t="array" ref="D123">A123&amp;B123&amp;_xlfn.IFS(C123 &lt; 10,"B00"&amp;C123,AND(C123 &gt;= 10,C123 &lt; 100),"B0"&amp;C123,C123 &gt;= 100,"B"&amp;C123)</f>
        <v>SMTA4B034</v>
      </c>
      <c r="E123" t="s">
        <v>16</v>
      </c>
      <c r="F123" s="2" t="str">
        <f>SUBSTITUTE(E123,"DLP"," ")</f>
        <v xml:space="preserve">Science  </v>
      </c>
      <c r="G123" t="s">
        <v>36</v>
      </c>
      <c r="H123" s="2" t="str" cm="1">
        <f t="array" ref="H123">_xlfn.IFS(G123 = "KSSR","Kokurikulum Standard Sekolah Rendah",G123 = "KSSM","Kokurikulum Standard Sekolah Menengah",G123 = "KBDKBT","Kokurikulum Bersepadu Dini dan Kokurikulum Bersepadu Tahfiz",G123 = "SSeM","Sekolah Seni Malaysia",G123 = "KC","Kesusasteraan Cina",G123 = "KSSMPK","Pendidikan Khas",G123 = "MPEI","Mata Pelajaran Elektif Ikhtisas",G123 = "MPET","Mata Pelajaran Elektif Teknikal",G123 = "MPV","Mata Pelajaran Vokasional",G123 = "MPAK","Mata Pelajaran Aliran Kebangsaan")</f>
        <v>Kokurikulum Standard Sekolah Menengah</v>
      </c>
      <c r="I123" t="str" cm="1">
        <f t="array" ref="I123">_xlfn.IFS(A123="SR","Sekolah Rendah",A123="SM","Sekolah Menengah")</f>
        <v>Sekolah Menengah</v>
      </c>
      <c r="J123" s="1" t="str" cm="1">
        <f t="array" ref="J123">_xlfn.SWITCH(B123,"T1","Tahun 1","T2","Tahun 2","T3","Tahun 3","T4","Tahun 4","T5","Tahun 5","T6","Tahun 6","TB1","Tingkatan 1","TB2","Tingkatan 2","TB3","Tingkatan 3","TA4","Tingkatan 4","TA5","Tingkatan 5")</f>
        <v>Tingkatan 4</v>
      </c>
      <c r="K123" t="b">
        <f>IF(COUNTIF(E123,"*DLP*"),TRUE)</f>
        <v>1</v>
      </c>
      <c r="L123" t="s">
        <v>130</v>
      </c>
    </row>
    <row r="124" spans="1:12" x14ac:dyDescent="0.3">
      <c r="A124" t="s">
        <v>8</v>
      </c>
      <c r="B124" t="str">
        <f>"TA4"</f>
        <v>TA4</v>
      </c>
      <c r="C124">
        <f>C123+1</f>
        <v>35</v>
      </c>
      <c r="D124" s="2" t="str" cm="1">
        <f t="array" ref="D124">A124&amp;B124&amp;_xlfn.IFS(C124 &lt; 10,"B00"&amp;C124,AND(C124 &gt;= 10,C124 &lt; 100),"B0"&amp;C124,C124 &gt;= 100,"B"&amp;C124)</f>
        <v>SMTA4B035</v>
      </c>
      <c r="E124" t="s">
        <v>18</v>
      </c>
      <c r="F124" s="2" t="str">
        <f>SUBSTITUTE(E124,"DLP"," ")</f>
        <v>Sejarah</v>
      </c>
      <c r="G124" t="s">
        <v>36</v>
      </c>
      <c r="H124" s="2" t="str" cm="1">
        <f t="array" ref="H124">_xlfn.IFS(G124 = "KSSR","Kokurikulum Standard Sekolah Rendah",G124 = "KSSM","Kokurikulum Standard Sekolah Menengah",G124 = "KBDKBT","Kokurikulum Bersepadu Dini dan Kokurikulum Bersepadu Tahfiz",G124 = "SSeM","Sekolah Seni Malaysia",G124 = "KC","Kesusasteraan Cina",G124 = "KSSMPK","Pendidikan Khas",G124 = "MPEI","Mata Pelajaran Elektif Ikhtisas",G124 = "MPET","Mata Pelajaran Elektif Teknikal",G124 = "MPV","Mata Pelajaran Vokasional",G124 = "MPAK","Mata Pelajaran Aliran Kebangsaan")</f>
        <v>Kokurikulum Standard Sekolah Menengah</v>
      </c>
      <c r="I124" t="str" cm="1">
        <f t="array" ref="I124">_xlfn.IFS(A124="SR","Sekolah Rendah",A124="SM","Sekolah Menengah")</f>
        <v>Sekolah Menengah</v>
      </c>
      <c r="J124" s="1" t="str" cm="1">
        <f t="array" ref="J124">_xlfn.SWITCH(B124,"T1","Tahun 1","T2","Tahun 2","T3","Tahun 3","T4","Tahun 4","T5","Tahun 5","T6","Tahun 6","TB1","Tingkatan 1","TB2","Tingkatan 2","TB3","Tingkatan 3","TA4","Tingkatan 4","TA5","Tingkatan 5")</f>
        <v>Tingkatan 4</v>
      </c>
      <c r="K124" t="b">
        <f>IF(COUNTIF(E124,"*DLP*"),TRUE)</f>
        <v>0</v>
      </c>
      <c r="L124" t="s">
        <v>130</v>
      </c>
    </row>
    <row r="125" spans="1:12" x14ac:dyDescent="0.3">
      <c r="A125" t="s">
        <v>8</v>
      </c>
      <c r="B125" t="str">
        <f>"TA4"</f>
        <v>TA4</v>
      </c>
      <c r="C125">
        <f>C124+1</f>
        <v>36</v>
      </c>
      <c r="D125" s="2" t="str" cm="1">
        <f t="array" ref="D125">A125&amp;B125&amp;_xlfn.IFS(C125 &lt; 10,"B00"&amp;C125,AND(C125 &gt;= 10,C125 &lt; 100),"B0"&amp;C125,C125 &gt;= 100,"B"&amp;C125)</f>
        <v>SMTA4B036</v>
      </c>
      <c r="E125" t="s">
        <v>77</v>
      </c>
      <c r="F125" s="2" t="str">
        <f>SUBSTITUTE(E125,"DLP"," ")</f>
        <v>Tasawwur Islam</v>
      </c>
      <c r="G125" t="s">
        <v>36</v>
      </c>
      <c r="H125" s="2" t="str" cm="1">
        <f t="array" ref="H125">_xlfn.IFS(G125 = "KSSR","Kokurikulum Standard Sekolah Rendah",G125 = "KSSM","Kokurikulum Standard Sekolah Menengah",G125 = "KBDKBT","Kokurikulum Bersepadu Dini dan Kokurikulum Bersepadu Tahfiz",G125 = "SSeM","Sekolah Seni Malaysia",G125 = "KC","Kesusasteraan Cina",G125 = "KSSMPK","Pendidikan Khas",G125 = "MPEI","Mata Pelajaran Elektif Ikhtisas",G125 = "MPET","Mata Pelajaran Elektif Teknikal",G125 = "MPV","Mata Pelajaran Vokasional",G125 = "MPAK","Mata Pelajaran Aliran Kebangsaan")</f>
        <v>Kokurikulum Standard Sekolah Menengah</v>
      </c>
      <c r="I125" t="str" cm="1">
        <f t="array" ref="I125">_xlfn.IFS(A125="SR","Sekolah Rendah",A125="SM","Sekolah Menengah")</f>
        <v>Sekolah Menengah</v>
      </c>
      <c r="J125" s="1" t="str" cm="1">
        <f t="array" ref="J125">_xlfn.SWITCH(B125,"T1","Tahun 1","T2","Tahun 2","T3","Tahun 3","T4","Tahun 4","T5","Tahun 5","T6","Tahun 6","TB1","Tingkatan 1","TB2","Tingkatan 2","TB3","Tingkatan 3","TA4","Tingkatan 4","TA5","Tingkatan 5")</f>
        <v>Tingkatan 4</v>
      </c>
      <c r="K125" t="b">
        <f>IF(COUNTIF(E125,"*DLP*"),TRUE)</f>
        <v>0</v>
      </c>
      <c r="L125" t="s">
        <v>130</v>
      </c>
    </row>
    <row r="126" spans="1:12" x14ac:dyDescent="0.3">
      <c r="A126" t="s">
        <v>8</v>
      </c>
      <c r="B126" t="str">
        <f>"TA4"</f>
        <v>TA4</v>
      </c>
      <c r="C126">
        <f>C125+1</f>
        <v>37</v>
      </c>
      <c r="D126" s="2" t="str" cm="1">
        <f t="array" ref="D126">A126&amp;B126&amp;_xlfn.IFS(C126 &lt; 10,"B00"&amp;C126,AND(C126 &gt;= 10,C126 &lt; 100),"B0"&amp;C126,C126 &gt;= 100,"B"&amp;C126)</f>
        <v>SMTA4B037</v>
      </c>
      <c r="E126" t="s">
        <v>119</v>
      </c>
      <c r="F126" s="2" t="str">
        <f>SUBSTITUTE(E126,"DLP"," ")</f>
        <v>Al-Adab Wa Al-Balaghah</v>
      </c>
      <c r="G126" t="s">
        <v>38</v>
      </c>
      <c r="H126" s="2" t="str" cm="1">
        <f t="array" ref="H126">_xlfn.IFS(G126 = "KSSR","Kokurikulum Standard Sekolah Rendah",G126 = "KSSM","Kokurikulum Standard Sekolah Menengah",G126 = "KBDKBT","Kokurikulum Bersepadu Dini dan Kokurikulum Bersepadu Tahfiz",G126 = "SSeM","Sekolah Seni Malaysia",G126 = "KC","Kesusasteraan Cina",G126 = "KSSMPK","Pendidikan Khas",G126 = "MPEI","Mata Pelajaran Elektif Ikhtisas",G126 = "MPET","Mata Pelajaran Elektif Teknikal",G126 = "MPV","Mata Pelajaran Vokasional",G126 = "MPAK","Mata Pelajaran Aliran Kebangsaan")</f>
        <v>Kokurikulum Bersepadu Dini dan Kokurikulum Bersepadu Tahfiz</v>
      </c>
      <c r="I126" t="str" cm="1">
        <f t="array" ref="I126">_xlfn.IFS(A126="SR","Sekolah Rendah",A126="SM","Sekolah Menengah")</f>
        <v>Sekolah Menengah</v>
      </c>
      <c r="J126" s="1" t="str" cm="1">
        <f t="array" ref="J126">_xlfn.SWITCH(B126,"T1","Tahun 1","T2","Tahun 2","T3","Tahun 3","T4","Tahun 4","T5","Tahun 5","T6","Tahun 6","TB1","Tingkatan 1","TB2","Tingkatan 2","TB3","Tingkatan 3","TA4","Tingkatan 4","TA5","Tingkatan 5")</f>
        <v>Tingkatan 4</v>
      </c>
      <c r="K126" t="b">
        <f>IF(COUNTIF(E126,"*DLP*"),TRUE)</f>
        <v>0</v>
      </c>
      <c r="L126" t="s">
        <v>130</v>
      </c>
    </row>
    <row r="127" spans="1:12" x14ac:dyDescent="0.3">
      <c r="A127" t="s">
        <v>8</v>
      </c>
      <c r="B127" t="str">
        <f>"TA4"</f>
        <v>TA4</v>
      </c>
      <c r="C127">
        <f>C126+1</f>
        <v>38</v>
      </c>
      <c r="D127" s="2" t="str" cm="1">
        <f t="array" ref="D127">A127&amp;B127&amp;_xlfn.IFS(C127 &lt; 10,"B00"&amp;C127,AND(C127 &gt;= 10,C127 &lt; 100),"B0"&amp;C127,C127 &gt;= 100,"B"&amp;C127)</f>
        <v>SMTA4B038</v>
      </c>
      <c r="E127" t="s">
        <v>49</v>
      </c>
      <c r="F127" s="2" t="str">
        <f>SUBSTITUTE(E127,"DLP"," ")</f>
        <v>Al-Lughah Al-Arabiah Al-Muasirah</v>
      </c>
      <c r="G127" t="s">
        <v>38</v>
      </c>
      <c r="H127" s="2" t="str" cm="1">
        <f t="array" ref="H127">_xlfn.IFS(G127 = "KSSR","Kokurikulum Standard Sekolah Rendah",G127 = "KSSM","Kokurikulum Standard Sekolah Menengah",G127 = "KBDKBT","Kokurikulum Bersepadu Dini dan Kokurikulum Bersepadu Tahfiz",G127 = "SSeM","Sekolah Seni Malaysia",G127 = "KC","Kesusasteraan Cina",G127 = "KSSMPK","Pendidikan Khas",G127 = "MPEI","Mata Pelajaran Elektif Ikhtisas",G127 = "MPET","Mata Pelajaran Elektif Teknikal",G127 = "MPV","Mata Pelajaran Vokasional",G127 = "MPAK","Mata Pelajaran Aliran Kebangsaan")</f>
        <v>Kokurikulum Bersepadu Dini dan Kokurikulum Bersepadu Tahfiz</v>
      </c>
      <c r="I127" t="str" cm="1">
        <f t="array" ref="I127">_xlfn.IFS(A127="SR","Sekolah Rendah",A127="SM","Sekolah Menengah")</f>
        <v>Sekolah Menengah</v>
      </c>
      <c r="J127" s="1" t="str" cm="1">
        <f t="array" ref="J127">_xlfn.SWITCH(B127,"T1","Tahun 1","T2","Tahun 2","T3","Tahun 3","T4","Tahun 4","T5","Tahun 5","T6","Tahun 6","TB1","Tingkatan 1","TB2","Tingkatan 2","TB3","Tingkatan 3","TA4","Tingkatan 4","TA5","Tingkatan 5")</f>
        <v>Tingkatan 4</v>
      </c>
      <c r="K127" t="b">
        <f>IF(COUNTIF(E127,"*DLP*"),TRUE)</f>
        <v>0</v>
      </c>
      <c r="L127" t="s">
        <v>130</v>
      </c>
    </row>
    <row r="128" spans="1:12" x14ac:dyDescent="0.3">
      <c r="A128" t="s">
        <v>8</v>
      </c>
      <c r="B128" t="str">
        <f>"TA4"</f>
        <v>TA4</v>
      </c>
      <c r="C128">
        <f>C127+1</f>
        <v>39</v>
      </c>
      <c r="D128" s="2" t="str" cm="1">
        <f t="array" ref="D128">A128&amp;B128&amp;_xlfn.IFS(C128 &lt; 10,"B00"&amp;C128,AND(C128 &gt;= 10,C128 &lt; 100),"B0"&amp;C128,C128 &gt;= 100,"B"&amp;C128)</f>
        <v>SMTA4B039</v>
      </c>
      <c r="E128" t="s">
        <v>37</v>
      </c>
      <c r="F128" s="2" t="str">
        <f>SUBSTITUTE(E128,"DLP"," ")</f>
        <v>Al-Syariah</v>
      </c>
      <c r="G128" t="s">
        <v>38</v>
      </c>
      <c r="H128" s="2" t="str" cm="1">
        <f t="array" ref="H128">_xlfn.IFS(G128 = "KSSR","Kokurikulum Standard Sekolah Rendah",G128 = "KSSM","Kokurikulum Standard Sekolah Menengah",G128 = "KBDKBT","Kokurikulum Bersepadu Dini dan Kokurikulum Bersepadu Tahfiz",G128 = "SSeM","Sekolah Seni Malaysia",G128 = "KC","Kesusasteraan Cina",G128 = "KSSMPK","Pendidikan Khas",G128 = "MPEI","Mata Pelajaran Elektif Ikhtisas",G128 = "MPET","Mata Pelajaran Elektif Teknikal",G128 = "MPV","Mata Pelajaran Vokasional",G128 = "MPAK","Mata Pelajaran Aliran Kebangsaan")</f>
        <v>Kokurikulum Bersepadu Dini dan Kokurikulum Bersepadu Tahfiz</v>
      </c>
      <c r="I128" t="str" cm="1">
        <f t="array" ref="I128">_xlfn.IFS(A128="SR","Sekolah Rendah",A128="SM","Sekolah Menengah")</f>
        <v>Sekolah Menengah</v>
      </c>
      <c r="J128" s="1" t="str" cm="1">
        <f t="array" ref="J128">_xlfn.SWITCH(B128,"T1","Tahun 1","T2","Tahun 2","T3","Tahun 3","T4","Tahun 4","T5","Tahun 5","T6","Tahun 6","TB1","Tingkatan 1","TB2","Tingkatan 2","TB3","Tingkatan 3","TA4","Tingkatan 4","TA5","Tingkatan 5")</f>
        <v>Tingkatan 4</v>
      </c>
      <c r="K128" t="b">
        <f>IF(COUNTIF(E128,"*DLP*"),TRUE)</f>
        <v>0</v>
      </c>
      <c r="L128" t="s">
        <v>130</v>
      </c>
    </row>
    <row r="129" spans="1:12" x14ac:dyDescent="0.3">
      <c r="A129" t="s">
        <v>8</v>
      </c>
      <c r="B129" t="str">
        <f>"TA4"</f>
        <v>TA4</v>
      </c>
      <c r="C129">
        <f>C128+1</f>
        <v>40</v>
      </c>
      <c r="D129" s="2" t="str" cm="1">
        <f t="array" ref="D129">A129&amp;B129&amp;_xlfn.IFS(C129 &lt; 10,"B00"&amp;C129,AND(C129 &gt;= 10,C129 &lt; 100),"B0"&amp;C129,C129 &gt;= 100,"B"&amp;C129)</f>
        <v>SMTA4B040</v>
      </c>
      <c r="E129" t="s">
        <v>40</v>
      </c>
      <c r="F129" s="2" t="str">
        <f>SUBSTITUTE(E129,"DLP"," ")</f>
        <v>Daftar Hifz Al-Quran</v>
      </c>
      <c r="G129" t="s">
        <v>38</v>
      </c>
      <c r="H129" s="2" t="str" cm="1">
        <f t="array" ref="H129">_xlfn.IFS(G129 = "KSSR","Kokurikulum Standard Sekolah Rendah",G129 = "KSSM","Kokurikulum Standard Sekolah Menengah",G129 = "KBDKBT","Kokurikulum Bersepadu Dini dan Kokurikulum Bersepadu Tahfiz",G129 = "SSeM","Sekolah Seni Malaysia",G129 = "KC","Kesusasteraan Cina",G129 = "KSSMPK","Pendidikan Khas",G129 = "MPEI","Mata Pelajaran Elektif Ikhtisas",G129 = "MPET","Mata Pelajaran Elektif Teknikal",G129 = "MPV","Mata Pelajaran Vokasional",G129 = "MPAK","Mata Pelajaran Aliran Kebangsaan")</f>
        <v>Kokurikulum Bersepadu Dini dan Kokurikulum Bersepadu Tahfiz</v>
      </c>
      <c r="I129" t="str" cm="1">
        <f t="array" ref="I129">_xlfn.IFS(A129="SR","Sekolah Rendah",A129="SM","Sekolah Menengah")</f>
        <v>Sekolah Menengah</v>
      </c>
      <c r="J129" s="1" t="str" cm="1">
        <f t="array" ref="J129">_xlfn.SWITCH(B129,"T1","Tahun 1","T2","Tahun 2","T3","Tahun 3","T4","Tahun 4","T5","Tahun 5","T6","Tahun 6","TB1","Tingkatan 1","TB2","Tingkatan 2","TB3","Tingkatan 3","TA4","Tingkatan 4","TA5","Tingkatan 5")</f>
        <v>Tingkatan 4</v>
      </c>
      <c r="K129" t="b">
        <f>IF(COUNTIF(E129,"*DLP*"),TRUE)</f>
        <v>0</v>
      </c>
      <c r="L129" t="s">
        <v>130</v>
      </c>
    </row>
    <row r="130" spans="1:12" x14ac:dyDescent="0.3">
      <c r="A130" t="s">
        <v>8</v>
      </c>
      <c r="B130" t="str">
        <f>"TA4"</f>
        <v>TA4</v>
      </c>
      <c r="C130">
        <f>C129+1</f>
        <v>41</v>
      </c>
      <c r="D130" s="2" t="str" cm="1">
        <f t="array" ref="D130">A130&amp;B130&amp;_xlfn.IFS(C130 &lt; 10,"B00"&amp;C130,AND(C130 &gt;= 10,C130 &lt; 100),"B0"&amp;C130,C130 &gt;= 100,"B"&amp;C130)</f>
        <v>SMTA4B041</v>
      </c>
      <c r="E130" t="s">
        <v>41</v>
      </c>
      <c r="F130" s="2" t="str">
        <f>SUBSTITUTE(E130,"DLP"," ")</f>
        <v>Maharat Al-Quran</v>
      </c>
      <c r="G130" t="s">
        <v>38</v>
      </c>
      <c r="H130" s="2" t="str" cm="1">
        <f t="array" ref="H130">_xlfn.IFS(G130 = "KSSR","Kokurikulum Standard Sekolah Rendah",G130 = "KSSM","Kokurikulum Standard Sekolah Menengah",G130 = "KBDKBT","Kokurikulum Bersepadu Dini dan Kokurikulum Bersepadu Tahfiz",G130 = "SSeM","Sekolah Seni Malaysia",G130 = "KC","Kesusasteraan Cina",G130 = "KSSMPK","Pendidikan Khas",G130 = "MPEI","Mata Pelajaran Elektif Ikhtisas",G130 = "MPET","Mata Pelajaran Elektif Teknikal",G130 = "MPV","Mata Pelajaran Vokasional",G130 = "MPAK","Mata Pelajaran Aliran Kebangsaan")</f>
        <v>Kokurikulum Bersepadu Dini dan Kokurikulum Bersepadu Tahfiz</v>
      </c>
      <c r="I130" t="str" cm="1">
        <f t="array" ref="I130">_xlfn.IFS(A130="SR","Sekolah Rendah",A130="SM","Sekolah Menengah")</f>
        <v>Sekolah Menengah</v>
      </c>
      <c r="J130" s="1" t="str" cm="1">
        <f t="array" ref="J130">_xlfn.SWITCH(B130,"T1","Tahun 1","T2","Tahun 2","T3","Tahun 3","T4","Tahun 4","T5","Tahun 5","T6","Tahun 6","TB1","Tingkatan 1","TB2","Tingkatan 2","TB3","Tingkatan 3","TA4","Tingkatan 4","TA5","Tingkatan 5")</f>
        <v>Tingkatan 4</v>
      </c>
      <c r="K130" t="b">
        <f>IF(COUNTIF(E130,"*DLP*"),TRUE)</f>
        <v>0</v>
      </c>
      <c r="L130" t="s">
        <v>130</v>
      </c>
    </row>
    <row r="131" spans="1:12" x14ac:dyDescent="0.3">
      <c r="A131" t="s">
        <v>8</v>
      </c>
      <c r="B131" t="str">
        <f>"TA4"</f>
        <v>TA4</v>
      </c>
      <c r="C131">
        <f>C130+1</f>
        <v>42</v>
      </c>
      <c r="D131" s="2" t="str" cm="1">
        <f t="array" ref="D131">A131&amp;B131&amp;_xlfn.IFS(C131 &lt; 10,"B00"&amp;C131,AND(C131 &gt;= 10,C131 &lt; 100),"B0"&amp;C131,C131 &gt;= 100,"B"&amp;C131)</f>
        <v>SMTA4B042</v>
      </c>
      <c r="E131" t="s">
        <v>120</v>
      </c>
      <c r="F131" s="2" t="str">
        <f>SUBSTITUTE(E131,"DLP"," ")</f>
        <v>Manahij Al-Ulum Al-Islamiyah</v>
      </c>
      <c r="G131" t="s">
        <v>38</v>
      </c>
      <c r="H131" s="2" t="str" cm="1">
        <f t="array" ref="H131">_xlfn.IFS(G131 = "KSSR","Kokurikulum Standard Sekolah Rendah",G131 = "KSSM","Kokurikulum Standard Sekolah Menengah",G131 = "KBDKBT","Kokurikulum Bersepadu Dini dan Kokurikulum Bersepadu Tahfiz",G131 = "SSeM","Sekolah Seni Malaysia",G131 = "KC","Kesusasteraan Cina",G131 = "KSSMPK","Pendidikan Khas",G131 = "MPEI","Mata Pelajaran Elektif Ikhtisas",G131 = "MPET","Mata Pelajaran Elektif Teknikal",G131 = "MPV","Mata Pelajaran Vokasional",G131 = "MPAK","Mata Pelajaran Aliran Kebangsaan")</f>
        <v>Kokurikulum Bersepadu Dini dan Kokurikulum Bersepadu Tahfiz</v>
      </c>
      <c r="I131" t="str" cm="1">
        <f t="array" ref="I131">_xlfn.IFS(A131="SR","Sekolah Rendah",A131="SM","Sekolah Menengah")</f>
        <v>Sekolah Menengah</v>
      </c>
      <c r="J131" s="1" t="str" cm="1">
        <f t="array" ref="J131">_xlfn.SWITCH(B131,"T1","Tahun 1","T2","Tahun 2","T3","Tahun 3","T4","Tahun 4","T5","Tahun 5","T6","Tahun 6","TB1","Tingkatan 1","TB2","Tingkatan 2","TB3","Tingkatan 3","TA4","Tingkatan 4","TA5","Tingkatan 5")</f>
        <v>Tingkatan 4</v>
      </c>
      <c r="K131" t="b">
        <f>IF(COUNTIF(E131,"*DLP*"),TRUE)</f>
        <v>0</v>
      </c>
      <c r="L131" t="s">
        <v>130</v>
      </c>
    </row>
    <row r="132" spans="1:12" x14ac:dyDescent="0.3">
      <c r="A132" t="s">
        <v>8</v>
      </c>
      <c r="B132" t="str">
        <f>"TA4"</f>
        <v>TA4</v>
      </c>
      <c r="C132">
        <f>C131+1</f>
        <v>43</v>
      </c>
      <c r="D132" s="2" t="str" cm="1">
        <f t="array" ref="D132">A132&amp;B132&amp;_xlfn.IFS(C132 &lt; 10,"B00"&amp;C132,AND(C132 &gt;= 10,C132 &lt; 100),"B0"&amp;C132,C132 &gt;= 100,"B"&amp;C132)</f>
        <v>SMTA4B043</v>
      </c>
      <c r="E132" t="s">
        <v>39</v>
      </c>
      <c r="F132" s="2" t="str">
        <f>SUBSTITUTE(E132,"DLP"," ")</f>
        <v>Usul Al-Din</v>
      </c>
      <c r="G132" t="s">
        <v>38</v>
      </c>
      <c r="H132" s="2" t="str" cm="1">
        <f t="array" ref="H132">_xlfn.IFS(G132 = "KSSR","Kokurikulum Standard Sekolah Rendah",G132 = "KSSM","Kokurikulum Standard Sekolah Menengah",G132 = "KBDKBT","Kokurikulum Bersepadu Dini dan Kokurikulum Bersepadu Tahfiz",G132 = "SSeM","Sekolah Seni Malaysia",G132 = "KC","Kesusasteraan Cina",G132 = "KSSMPK","Pendidikan Khas",G132 = "MPEI","Mata Pelajaran Elektif Ikhtisas",G132 = "MPET","Mata Pelajaran Elektif Teknikal",G132 = "MPV","Mata Pelajaran Vokasional",G132 = "MPAK","Mata Pelajaran Aliran Kebangsaan")</f>
        <v>Kokurikulum Bersepadu Dini dan Kokurikulum Bersepadu Tahfiz</v>
      </c>
      <c r="I132" t="str" cm="1">
        <f t="array" ref="I132">_xlfn.IFS(A132="SR","Sekolah Rendah",A132="SM","Sekolah Menengah")</f>
        <v>Sekolah Menengah</v>
      </c>
      <c r="J132" s="1" t="str" cm="1">
        <f t="array" ref="J132">_xlfn.SWITCH(B132,"T1","Tahun 1","T2","Tahun 2","T3","Tahun 3","T4","Tahun 4","T5","Tahun 5","T6","Tahun 6","TB1","Tingkatan 1","TB2","Tingkatan 2","TB3","Tingkatan 3","TA4","Tingkatan 4","TA5","Tingkatan 5")</f>
        <v>Tingkatan 4</v>
      </c>
      <c r="K132" t="b">
        <f>IF(COUNTIF(E132,"*DLP*"),TRUE)</f>
        <v>0</v>
      </c>
      <c r="L132" t="s">
        <v>130</v>
      </c>
    </row>
    <row r="133" spans="1:12" x14ac:dyDescent="0.3">
      <c r="A133" t="s">
        <v>8</v>
      </c>
      <c r="B133" t="str">
        <f>"TA4"</f>
        <v>TA4</v>
      </c>
      <c r="C133">
        <f>C132+1</f>
        <v>44</v>
      </c>
      <c r="D133" s="2" t="str" cm="1">
        <f t="array" ref="D133">A133&amp;B133&amp;_xlfn.IFS(C133 &lt; 10,"B00"&amp;C133,AND(C133 &gt;= 10,C133 &lt; 100),"B0"&amp;C133,C133 &gt;= 100,"B"&amp;C133)</f>
        <v>SMTA4B044</v>
      </c>
      <c r="E133" t="s">
        <v>123</v>
      </c>
      <c r="F133" s="2" t="str">
        <f>SUBSTITUTE(E133,"DLP"," ")</f>
        <v>English for Skills Development Stream</v>
      </c>
      <c r="G133" t="s">
        <v>118</v>
      </c>
      <c r="H133" s="2" t="str" cm="1">
        <f t="array" ref="H133">_xlfn.IFS(G133 = "KSSR","Kokurikulum Standard Sekolah Rendah",G133 = "KSSM","Kokurikulum Standard Sekolah Menengah",G133 = "KBDKBT","Kokurikulum Bersepadu Dini dan Kokurikulum Bersepadu Tahfiz",G133 = "SSeM","Sekolah Seni Malaysia",G133 = "KC","Kesusasteraan Cina",G133 = "KSSMPK","Pendidikan Khas",G133 = "MPEI","Mata Pelajaran Elektif Ikhtisas",G133 = "MPET","Mata Pelajaran Elektif Teknikal",G133 = "MPV","Mata Pelajaran Vokasional",G133 = "MPAK","Mata Pelajaran Aliran Kebangsaan")</f>
        <v>Mata Pelajaran Aliran Kebangsaan</v>
      </c>
      <c r="I133" t="str" cm="1">
        <f t="array" ref="I133">_xlfn.IFS(A133="SR","Sekolah Rendah",A133="SM","Sekolah Menengah")</f>
        <v>Sekolah Menengah</v>
      </c>
      <c r="J133" s="1" t="str" cm="1">
        <f t="array" ref="J133">_xlfn.SWITCH(B133,"T1","Tahun 1","T2","Tahun 2","T3","Tahun 3","T4","Tahun 4","T5","Tahun 5","T6","Tahun 6","TB1","Tingkatan 1","TB2","Tingkatan 2","TB3","Tingkatan 3","TA4","Tingkatan 4","TA5","Tingkatan 5")</f>
        <v>Tingkatan 4</v>
      </c>
      <c r="K133" t="b">
        <f>IF(COUNTIF(E133,"*DLP*"),TRUE)</f>
        <v>0</v>
      </c>
      <c r="L133" t="s">
        <v>130</v>
      </c>
    </row>
    <row r="134" spans="1:12" x14ac:dyDescent="0.3">
      <c r="A134" t="s">
        <v>8</v>
      </c>
      <c r="B134" t="str">
        <f>"TA4"</f>
        <v>TA4</v>
      </c>
      <c r="C134">
        <f>C133+1</f>
        <v>45</v>
      </c>
      <c r="D134" s="2" t="str" cm="1">
        <f t="array" ref="D134">A134&amp;B134&amp;_xlfn.IFS(C134 &lt; 10,"B00"&amp;C134,AND(C134 &gt;= 10,C134 &lt; 100),"B0"&amp;C134,C134 &gt;= 100,"B"&amp;C134)</f>
        <v>SMTA4B045</v>
      </c>
      <c r="E134" t="s">
        <v>115</v>
      </c>
      <c r="F134" s="2" t="str">
        <f>SUBSTITUTE(E134,"DLP"," ")</f>
        <v>Matematik Aliran Kemahiran</v>
      </c>
      <c r="G134" t="s">
        <v>118</v>
      </c>
      <c r="H134" s="2" t="str" cm="1">
        <f t="array" ref="H134">_xlfn.IFS(G134 = "KSSR","Kokurikulum Standard Sekolah Rendah",G134 = "KSSM","Kokurikulum Standard Sekolah Menengah",G134 = "KBDKBT","Kokurikulum Bersepadu Dini dan Kokurikulum Bersepadu Tahfiz",G134 = "SSeM","Sekolah Seni Malaysia",G134 = "KC","Kesusasteraan Cina",G134 = "KSSMPK","Pendidikan Khas",G134 = "MPEI","Mata Pelajaran Elektif Ikhtisas",G134 = "MPET","Mata Pelajaran Elektif Teknikal",G134 = "MPV","Mata Pelajaran Vokasional",G134 = "MPAK","Mata Pelajaran Aliran Kebangsaan")</f>
        <v>Mata Pelajaran Aliran Kebangsaan</v>
      </c>
      <c r="I134" t="str" cm="1">
        <f t="array" ref="I134">_xlfn.IFS(A134="SR","Sekolah Rendah",A134="SM","Sekolah Menengah")</f>
        <v>Sekolah Menengah</v>
      </c>
      <c r="J134" s="1" t="str" cm="1">
        <f t="array" ref="J134">_xlfn.SWITCH(B134,"T1","Tahun 1","T2","Tahun 2","T3","Tahun 3","T4","Tahun 4","T5","Tahun 5","T6","Tahun 6","TB1","Tingkatan 1","TB2","Tingkatan 2","TB3","Tingkatan 3","TA4","Tingkatan 4","TA5","Tingkatan 5")</f>
        <v>Tingkatan 4</v>
      </c>
      <c r="K134" t="b">
        <f>IF(COUNTIF(E134,"*DLP*"),TRUE)</f>
        <v>0</v>
      </c>
      <c r="L134" t="s">
        <v>130</v>
      </c>
    </row>
    <row r="135" spans="1:12" x14ac:dyDescent="0.3">
      <c r="A135" t="s">
        <v>8</v>
      </c>
      <c r="B135" t="str">
        <f>"TA4"</f>
        <v>TA4</v>
      </c>
      <c r="C135">
        <f>C134+1</f>
        <v>46</v>
      </c>
      <c r="D135" s="2" t="str" cm="1">
        <f t="array" ref="D135">A135&amp;B135&amp;_xlfn.IFS(C135 &lt; 10,"B00"&amp;C135,AND(C135 &gt;= 10,C135 &lt; 100),"B0"&amp;C135,C135 &gt;= 100,"B"&amp;C135)</f>
        <v>SMTA4B046</v>
      </c>
      <c r="E135" t="s">
        <v>116</v>
      </c>
      <c r="F135" s="2" t="str">
        <f>SUBSTITUTE(E135,"DLP"," ")</f>
        <v>Pendidikan Islam Aliran Kemahiran</v>
      </c>
      <c r="G135" t="s">
        <v>118</v>
      </c>
      <c r="H135" s="2" t="str" cm="1">
        <f t="array" ref="H135">_xlfn.IFS(G135 = "KSSR","Kokurikulum Standard Sekolah Rendah",G135 = "KSSM","Kokurikulum Standard Sekolah Menengah",G135 = "KBDKBT","Kokurikulum Bersepadu Dini dan Kokurikulum Bersepadu Tahfiz",G135 = "SSeM","Sekolah Seni Malaysia",G135 = "KC","Kesusasteraan Cina",G135 = "KSSMPK","Pendidikan Khas",G135 = "MPEI","Mata Pelajaran Elektif Ikhtisas",G135 = "MPET","Mata Pelajaran Elektif Teknikal",G135 = "MPV","Mata Pelajaran Vokasional",G135 = "MPAK","Mata Pelajaran Aliran Kebangsaan")</f>
        <v>Mata Pelajaran Aliran Kebangsaan</v>
      </c>
      <c r="I135" t="str" cm="1">
        <f t="array" ref="I135">_xlfn.IFS(A135="SR","Sekolah Rendah",A135="SM","Sekolah Menengah")</f>
        <v>Sekolah Menengah</v>
      </c>
      <c r="J135" s="1" t="str" cm="1">
        <f t="array" ref="J135">_xlfn.SWITCH(B135,"T1","Tahun 1","T2","Tahun 2","T3","Tahun 3","T4","Tahun 4","T5","Tahun 5","T6","Tahun 6","TB1","Tingkatan 1","TB2","Tingkatan 2","TB3","Tingkatan 3","TA4","Tingkatan 4","TA5","Tingkatan 5")</f>
        <v>Tingkatan 4</v>
      </c>
      <c r="K135" t="b">
        <f>IF(COUNTIF(E135,"*DLP*"),TRUE)</f>
        <v>0</v>
      </c>
      <c r="L135" t="s">
        <v>130</v>
      </c>
    </row>
    <row r="136" spans="1:12" x14ac:dyDescent="0.3">
      <c r="A136" t="s">
        <v>8</v>
      </c>
      <c r="B136" t="str">
        <f>"TA4"</f>
        <v>TA4</v>
      </c>
      <c r="C136">
        <f>C135+1</f>
        <v>47</v>
      </c>
      <c r="D136" s="2" t="str" cm="1">
        <f t="array" ref="D136">A136&amp;B136&amp;_xlfn.IFS(C136 &lt; 10,"B00"&amp;C136,AND(C136 &gt;= 10,C136 &lt; 100),"B0"&amp;C136,C136 &gt;= 100,"B"&amp;C136)</f>
        <v>SMTA4B047</v>
      </c>
      <c r="E136" t="s">
        <v>117</v>
      </c>
      <c r="F136" s="2" t="str">
        <f>SUBSTITUTE(E136,"DLP"," ")</f>
        <v>Pendidikan Moral Aliran Kemahiran</v>
      </c>
      <c r="G136" t="s">
        <v>118</v>
      </c>
      <c r="H136" s="2" t="str" cm="1">
        <f t="array" ref="H136">_xlfn.IFS(G136 = "KSSR","Kokurikulum Standard Sekolah Rendah",G136 = "KSSM","Kokurikulum Standard Sekolah Menengah",G136 = "KBDKBT","Kokurikulum Bersepadu Dini dan Kokurikulum Bersepadu Tahfiz",G136 = "SSeM","Sekolah Seni Malaysia",G136 = "KC","Kesusasteraan Cina",G136 = "KSSMPK","Pendidikan Khas",G136 = "MPEI","Mata Pelajaran Elektif Ikhtisas",G136 = "MPET","Mata Pelajaran Elektif Teknikal",G136 = "MPV","Mata Pelajaran Vokasional",G136 = "MPAK","Mata Pelajaran Aliran Kebangsaan")</f>
        <v>Mata Pelajaran Aliran Kebangsaan</v>
      </c>
      <c r="I136" t="str" cm="1">
        <f t="array" ref="I136">_xlfn.IFS(A136="SR","Sekolah Rendah",A136="SM","Sekolah Menengah")</f>
        <v>Sekolah Menengah</v>
      </c>
      <c r="J136" s="1" t="str" cm="1">
        <f t="array" ref="J136">_xlfn.SWITCH(B136,"T1","Tahun 1","T2","Tahun 2","T3","Tahun 3","T4","Tahun 4","T5","Tahun 5","T6","Tahun 6","TB1","Tingkatan 1","TB2","Tingkatan 2","TB3","Tingkatan 3","TA4","Tingkatan 4","TA5","Tingkatan 5")</f>
        <v>Tingkatan 4</v>
      </c>
      <c r="K136" t="b">
        <f>IF(COUNTIF(E136,"*DLP*"),TRUE)</f>
        <v>0</v>
      </c>
      <c r="L136" t="s">
        <v>130</v>
      </c>
    </row>
    <row r="137" spans="1:12" x14ac:dyDescent="0.3">
      <c r="A137" t="s">
        <v>8</v>
      </c>
      <c r="B137" t="str">
        <f>"TA4"</f>
        <v>TA4</v>
      </c>
      <c r="C137">
        <f>C136+1</f>
        <v>48</v>
      </c>
      <c r="D137" s="2" t="str" cm="1">
        <f t="array" ref="D137">A137&amp;B137&amp;_xlfn.IFS(C137 &lt; 10,"B00"&amp;C137,AND(C137 &gt;= 10,C137 &lt; 100),"B0"&amp;C137,C137 &gt;= 100,"B"&amp;C137)</f>
        <v>SMTA4B048</v>
      </c>
      <c r="E137" t="s">
        <v>81</v>
      </c>
      <c r="F137" s="2" t="str">
        <f>SUBSTITUTE(E137,"DLP"," ")</f>
        <v>Asas Kelestarian</v>
      </c>
      <c r="G137" t="s">
        <v>85</v>
      </c>
      <c r="H137" s="2" t="str" cm="1">
        <f t="array" ref="H137">_xlfn.IFS(G137 = "KSSR","Kokurikulum Standard Sekolah Rendah",G137 = "KSSM","Kokurikulum Standard Sekolah Menengah",G137 = "KBDKBT","Kokurikulum Bersepadu Dini dan Kokurikulum Bersepadu Tahfiz",G137 = "SSeM","Sekolah Seni Malaysia",G137 = "KC","Kesusasteraan Cina",G137 = "KSSMPK","Pendidikan Khas",G137 = "MPEI","Mata Pelajaran Elektif Ikhtisas",G137 = "MPET","Mata Pelajaran Elektif Teknikal",G137 = "MPV","Mata Pelajaran Vokasional",G137 = "MPAK","Mata Pelajaran Aliran Kebangsaan")</f>
        <v>Mata Pelajaran Elektif Teknikal</v>
      </c>
      <c r="I137" t="str" cm="1">
        <f t="array" ref="I137">_xlfn.IFS(A137="SR","Sekolah Rendah",A137="SM","Sekolah Menengah")</f>
        <v>Sekolah Menengah</v>
      </c>
      <c r="J137" s="1" t="str" cm="1">
        <f t="array" ref="J137">_xlfn.SWITCH(B137,"T1","Tahun 1","T2","Tahun 2","T3","Tahun 3","T4","Tahun 4","T5","Tahun 5","T6","Tahun 6","TB1","Tingkatan 1","TB2","Tingkatan 2","TB3","Tingkatan 3","TA4","Tingkatan 4","TA5","Tingkatan 5")</f>
        <v>Tingkatan 4</v>
      </c>
      <c r="K137" t="b">
        <f>IF(COUNTIF(E137,"*DLP*"),TRUE)</f>
        <v>0</v>
      </c>
      <c r="L137" t="s">
        <v>130</v>
      </c>
    </row>
    <row r="138" spans="1:12" x14ac:dyDescent="0.3">
      <c r="A138" t="s">
        <v>8</v>
      </c>
      <c r="B138" t="str">
        <f>"TA4"</f>
        <v>TA4</v>
      </c>
      <c r="C138">
        <f>C137+1</f>
        <v>49</v>
      </c>
      <c r="D138" s="2" t="str" cm="1">
        <f t="array" ref="D138">A138&amp;B138&amp;_xlfn.IFS(C138 &lt; 10,"B00"&amp;C138,AND(C138 &gt;= 10,C138 &lt; 100),"B0"&amp;C138,C138 &gt;= 100,"B"&amp;C138)</f>
        <v>SMTA4B049</v>
      </c>
      <c r="E138" t="s">
        <v>68</v>
      </c>
      <c r="F138" s="2" t="str">
        <f>SUBSTITUTE(E138,"DLP"," ")</f>
        <v>Ekonomi</v>
      </c>
      <c r="G138" t="s">
        <v>85</v>
      </c>
      <c r="H138" s="2" t="str" cm="1">
        <f t="array" ref="H138">_xlfn.IFS(G138 = "KSSR","Kokurikulum Standard Sekolah Rendah",G138 = "KSSM","Kokurikulum Standard Sekolah Menengah",G138 = "KBDKBT","Kokurikulum Bersepadu Dini dan Kokurikulum Bersepadu Tahfiz",G138 = "SSeM","Sekolah Seni Malaysia",G138 = "KC","Kesusasteraan Cina",G138 = "KSSMPK","Pendidikan Khas",G138 = "MPEI","Mata Pelajaran Elektif Ikhtisas",G138 = "MPET","Mata Pelajaran Elektif Teknikal",G138 = "MPV","Mata Pelajaran Vokasional",G138 = "MPAK","Mata Pelajaran Aliran Kebangsaan")</f>
        <v>Mata Pelajaran Elektif Teknikal</v>
      </c>
      <c r="I138" t="str" cm="1">
        <f t="array" ref="I138">_xlfn.IFS(A138="SR","Sekolah Rendah",A138="SM","Sekolah Menengah")</f>
        <v>Sekolah Menengah</v>
      </c>
      <c r="J138" s="1" t="str" cm="1">
        <f t="array" ref="J138">_xlfn.SWITCH(B138,"T1","Tahun 1","T2","Tahun 2","T3","Tahun 3","T4","Tahun 4","T5","Tahun 5","T6","Tahun 6","TB1","Tingkatan 1","TB2","Tingkatan 2","TB3","Tingkatan 3","TA4","Tingkatan 4","TA5","Tingkatan 5")</f>
        <v>Tingkatan 4</v>
      </c>
      <c r="K138" t="b">
        <f>IF(COUNTIF(E138,"*DLP*"),TRUE)</f>
        <v>0</v>
      </c>
      <c r="L138" t="s">
        <v>130</v>
      </c>
    </row>
    <row r="139" spans="1:12" x14ac:dyDescent="0.3">
      <c r="A139" t="s">
        <v>8</v>
      </c>
      <c r="B139" t="str">
        <f>"TA4"</f>
        <v>TA4</v>
      </c>
      <c r="C139">
        <f>C138+1</f>
        <v>50</v>
      </c>
      <c r="D139" s="2" t="str" cm="1">
        <f t="array" ref="D139">A139&amp;B139&amp;_xlfn.IFS(C139 &lt; 10,"B00"&amp;C139,AND(C139 &gt;= 10,C139 &lt; 100),"B0"&amp;C139,C139 &gt;= 100,"B"&amp;C139)</f>
        <v>SMTA4B050</v>
      </c>
      <c r="E139" t="s">
        <v>82</v>
      </c>
      <c r="F139" s="2" t="str">
        <f>SUBSTITUTE(E139,"DLP"," ")</f>
        <v>Grafik Komunikasi Teknikal</v>
      </c>
      <c r="G139" t="s">
        <v>85</v>
      </c>
      <c r="H139" s="2" t="str" cm="1">
        <f t="array" ref="H139">_xlfn.IFS(G139 = "KSSR","Kokurikulum Standard Sekolah Rendah",G139 = "KSSM","Kokurikulum Standard Sekolah Menengah",G139 = "KBDKBT","Kokurikulum Bersepadu Dini dan Kokurikulum Bersepadu Tahfiz",G139 = "SSeM","Sekolah Seni Malaysia",G139 = "KC","Kesusasteraan Cina",G139 = "KSSMPK","Pendidikan Khas",G139 = "MPEI","Mata Pelajaran Elektif Ikhtisas",G139 = "MPET","Mata Pelajaran Elektif Teknikal",G139 = "MPV","Mata Pelajaran Vokasional",G139 = "MPAK","Mata Pelajaran Aliran Kebangsaan")</f>
        <v>Mata Pelajaran Elektif Teknikal</v>
      </c>
      <c r="I139" t="str" cm="1">
        <f t="array" ref="I139">_xlfn.IFS(A139="SR","Sekolah Rendah",A139="SM","Sekolah Menengah")</f>
        <v>Sekolah Menengah</v>
      </c>
      <c r="J139" s="1" t="str" cm="1">
        <f t="array" ref="J139">_xlfn.SWITCH(B139,"T1","Tahun 1","T2","Tahun 2","T3","Tahun 3","T4","Tahun 4","T5","Tahun 5","T6","Tahun 6","TB1","Tingkatan 1","TB2","Tingkatan 2","TB3","Tingkatan 3","TA4","Tingkatan 4","TA5","Tingkatan 5")</f>
        <v>Tingkatan 4</v>
      </c>
      <c r="K139" t="b">
        <f>IF(COUNTIF(E139,"*DLP*"),TRUE)</f>
        <v>0</v>
      </c>
      <c r="L139" t="s">
        <v>130</v>
      </c>
    </row>
    <row r="140" spans="1:12" x14ac:dyDescent="0.3">
      <c r="A140" t="s">
        <v>8</v>
      </c>
      <c r="B140" t="str">
        <f>"TA4"</f>
        <v>TA4</v>
      </c>
      <c r="C140">
        <f>C139+1</f>
        <v>51</v>
      </c>
      <c r="D140" s="2" t="str" cm="1">
        <f t="array" ref="D140">A140&amp;B140&amp;_xlfn.IFS(C140 &lt; 10,"B00"&amp;C140,AND(C140 &gt;= 10,C140 &lt; 100),"B0"&amp;C140,C140 &gt;= 100,"B"&amp;C140)</f>
        <v>SMTA4B051</v>
      </c>
      <c r="E140" t="s">
        <v>67</v>
      </c>
      <c r="F140" s="2" t="str">
        <f>SUBSTITUTE(E140,"DLP"," ")</f>
        <v>Perniagaan</v>
      </c>
      <c r="G140" t="s">
        <v>85</v>
      </c>
      <c r="H140" s="2" t="str" cm="1">
        <f t="array" ref="H140">_xlfn.IFS(G140 = "KSSR","Kokurikulum Standard Sekolah Rendah",G140 = "KSSM","Kokurikulum Standard Sekolah Menengah",G140 = "KBDKBT","Kokurikulum Bersepadu Dini dan Kokurikulum Bersepadu Tahfiz",G140 = "SSeM","Sekolah Seni Malaysia",G140 = "KC","Kesusasteraan Cina",G140 = "KSSMPK","Pendidikan Khas",G140 = "MPEI","Mata Pelajaran Elektif Ikhtisas",G140 = "MPET","Mata Pelajaran Elektif Teknikal",G140 = "MPV","Mata Pelajaran Vokasional",G140 = "MPAK","Mata Pelajaran Aliran Kebangsaan")</f>
        <v>Mata Pelajaran Elektif Teknikal</v>
      </c>
      <c r="I140" t="str" cm="1">
        <f t="array" ref="I140">_xlfn.IFS(A140="SR","Sekolah Rendah",A140="SM","Sekolah Menengah")</f>
        <v>Sekolah Menengah</v>
      </c>
      <c r="J140" s="1" t="str" cm="1">
        <f t="array" ref="J140">_xlfn.SWITCH(B140,"T1","Tahun 1","T2","Tahun 2","T3","Tahun 3","T4","Tahun 4","T5","Tahun 5","T6","Tahun 6","TB1","Tingkatan 1","TB2","Tingkatan 2","TB3","Tingkatan 3","TA4","Tingkatan 4","TA5","Tingkatan 5")</f>
        <v>Tingkatan 4</v>
      </c>
      <c r="K140" t="b">
        <f>IF(COUNTIF(E140,"*DLP*"),TRUE)</f>
        <v>0</v>
      </c>
      <c r="L140" t="s">
        <v>130</v>
      </c>
    </row>
    <row r="141" spans="1:12" x14ac:dyDescent="0.3">
      <c r="A141" t="s">
        <v>8</v>
      </c>
      <c r="B141" t="str">
        <f>"TA4"</f>
        <v>TA4</v>
      </c>
      <c r="C141">
        <f>C140+1</f>
        <v>52</v>
      </c>
      <c r="D141" s="2" t="str" cm="1">
        <f t="array" ref="D141">A141&amp;B141&amp;_xlfn.IFS(C141 &lt; 10,"B00"&amp;C141,AND(C141 &gt;= 10,C141 &lt; 100),"B0"&amp;C141,C141 &gt;= 100,"B"&amp;C141)</f>
        <v>SMTA4B052</v>
      </c>
      <c r="E141" t="s">
        <v>83</v>
      </c>
      <c r="F141" s="2" t="str">
        <f>SUBSTITUTE(E141,"DLP"," ")</f>
        <v>Pertanian</v>
      </c>
      <c r="G141" t="s">
        <v>85</v>
      </c>
      <c r="H141" s="2" t="str" cm="1">
        <f t="array" ref="H141">_xlfn.IFS(G141 = "KSSR","Kokurikulum Standard Sekolah Rendah",G141 = "KSSM","Kokurikulum Standard Sekolah Menengah",G141 = "KBDKBT","Kokurikulum Bersepadu Dini dan Kokurikulum Bersepadu Tahfiz",G141 = "SSeM","Sekolah Seni Malaysia",G141 = "KC","Kesusasteraan Cina",G141 = "KSSMPK","Pendidikan Khas",G141 = "MPEI","Mata Pelajaran Elektif Ikhtisas",G141 = "MPET","Mata Pelajaran Elektif Teknikal",G141 = "MPV","Mata Pelajaran Vokasional",G141 = "MPAK","Mata Pelajaran Aliran Kebangsaan")</f>
        <v>Mata Pelajaran Elektif Teknikal</v>
      </c>
      <c r="I141" t="str" cm="1">
        <f t="array" ref="I141">_xlfn.IFS(A141="SR","Sekolah Rendah",A141="SM","Sekolah Menengah")</f>
        <v>Sekolah Menengah</v>
      </c>
      <c r="J141" s="1" t="str" cm="1">
        <f t="array" ref="J141">_xlfn.SWITCH(B141,"T1","Tahun 1","T2","Tahun 2","T3","Tahun 3","T4","Tahun 4","T5","Tahun 5","T6","Tahun 6","TB1","Tingkatan 1","TB2","Tingkatan 2","TB3","Tingkatan 3","TA4","Tingkatan 4","TA5","Tingkatan 5")</f>
        <v>Tingkatan 4</v>
      </c>
      <c r="K141" t="b">
        <f>IF(COUNTIF(E141,"*DLP*"),TRUE)</f>
        <v>0</v>
      </c>
      <c r="L141" t="s">
        <v>130</v>
      </c>
    </row>
    <row r="142" spans="1:12" x14ac:dyDescent="0.3">
      <c r="A142" t="s">
        <v>8</v>
      </c>
      <c r="B142" t="str">
        <f>"TA4"</f>
        <v>TA4</v>
      </c>
      <c r="C142">
        <f>C141+1</f>
        <v>53</v>
      </c>
      <c r="D142" s="2" t="str" cm="1">
        <f t="array" ref="D142">A142&amp;B142&amp;_xlfn.IFS(C142 &lt; 10,"B00"&amp;C142,AND(C142 &gt;= 10,C142 &lt; 100),"B0"&amp;C142,C142 &gt;= 100,"B"&amp;C142)</f>
        <v>SMTA4B053</v>
      </c>
      <c r="E142" t="s">
        <v>64</v>
      </c>
      <c r="F142" s="2" t="str">
        <f>SUBSTITUTE(E142,"DLP"," ")</f>
        <v>Reka Cipta</v>
      </c>
      <c r="G142" t="s">
        <v>85</v>
      </c>
      <c r="H142" s="2" t="str" cm="1">
        <f t="array" ref="H142">_xlfn.IFS(G142 = "KSSR","Kokurikulum Standard Sekolah Rendah",G142 = "KSSM","Kokurikulum Standard Sekolah Menengah",G142 = "KBDKBT","Kokurikulum Bersepadu Dini dan Kokurikulum Bersepadu Tahfiz",G142 = "SSeM","Sekolah Seni Malaysia",G142 = "KC","Kesusasteraan Cina",G142 = "KSSMPK","Pendidikan Khas",G142 = "MPEI","Mata Pelajaran Elektif Ikhtisas",G142 = "MPET","Mata Pelajaran Elektif Teknikal",G142 = "MPV","Mata Pelajaran Vokasional",G142 = "MPAK","Mata Pelajaran Aliran Kebangsaan")</f>
        <v>Mata Pelajaran Elektif Teknikal</v>
      </c>
      <c r="I142" t="str" cm="1">
        <f t="array" ref="I142">_xlfn.IFS(A142="SR","Sekolah Rendah",A142="SM","Sekolah Menengah")</f>
        <v>Sekolah Menengah</v>
      </c>
      <c r="J142" s="1" t="str" cm="1">
        <f t="array" ref="J142">_xlfn.SWITCH(B142,"T1","Tahun 1","T2","Tahun 2","T3","Tahun 3","T4","Tahun 4","T5","Tahun 5","T6","Tahun 6","TB1","Tingkatan 1","TB2","Tingkatan 2","TB3","Tingkatan 3","TA4","Tingkatan 4","TA5","Tingkatan 5")</f>
        <v>Tingkatan 4</v>
      </c>
      <c r="K142" t="b">
        <f>IF(COUNTIF(E142,"*DLP*"),TRUE)</f>
        <v>0</v>
      </c>
      <c r="L142" t="s">
        <v>130</v>
      </c>
    </row>
    <row r="143" spans="1:12" x14ac:dyDescent="0.3">
      <c r="A143" t="s">
        <v>8</v>
      </c>
      <c r="B143" t="str">
        <f>"TA4"</f>
        <v>TA4</v>
      </c>
      <c r="C143">
        <f>C142+1</f>
        <v>54</v>
      </c>
      <c r="D143" s="2" t="str" cm="1">
        <f t="array" ref="D143">A143&amp;B143&amp;_xlfn.IFS(C143 &lt; 10,"B00"&amp;C143,AND(C143 &gt;= 10,C143 &lt; 100),"B0"&amp;C143,C143 &gt;= 100,"B"&amp;C143)</f>
        <v>SMTA4B054</v>
      </c>
      <c r="E143" t="s">
        <v>54</v>
      </c>
      <c r="F143" s="2" t="str">
        <f>SUBSTITUTE(E143,"DLP"," ")</f>
        <v>Sains Komputer</v>
      </c>
      <c r="G143" t="s">
        <v>85</v>
      </c>
      <c r="H143" s="2" t="str" cm="1">
        <f t="array" ref="H143">_xlfn.IFS(G143 = "KSSR","Kokurikulum Standard Sekolah Rendah",G143 = "KSSM","Kokurikulum Standard Sekolah Menengah",G143 = "KBDKBT","Kokurikulum Bersepadu Dini dan Kokurikulum Bersepadu Tahfiz",G143 = "SSeM","Sekolah Seni Malaysia",G143 = "KC","Kesusasteraan Cina",G143 = "KSSMPK","Pendidikan Khas",G143 = "MPEI","Mata Pelajaran Elektif Ikhtisas",G143 = "MPET","Mata Pelajaran Elektif Teknikal",G143 = "MPV","Mata Pelajaran Vokasional",G143 = "MPAK","Mata Pelajaran Aliran Kebangsaan")</f>
        <v>Mata Pelajaran Elektif Teknikal</v>
      </c>
      <c r="I143" t="str" cm="1">
        <f t="array" ref="I143">_xlfn.IFS(A143="SR","Sekolah Rendah",A143="SM","Sekolah Menengah")</f>
        <v>Sekolah Menengah</v>
      </c>
      <c r="J143" s="1" t="str" cm="1">
        <f t="array" ref="J143">_xlfn.SWITCH(B143,"T1","Tahun 1","T2","Tahun 2","T3","Tahun 3","T4","Tahun 4","T5","Tahun 5","T6","Tahun 6","TB1","Tingkatan 1","TB2","Tingkatan 2","TB3","Tingkatan 3","TA4","Tingkatan 4","TA5","Tingkatan 5")</f>
        <v>Tingkatan 4</v>
      </c>
      <c r="K143" t="b">
        <f>IF(COUNTIF(E143,"*DLP*"),TRUE)</f>
        <v>0</v>
      </c>
      <c r="L143" t="s">
        <v>130</v>
      </c>
    </row>
    <row r="144" spans="1:12" x14ac:dyDescent="0.3">
      <c r="A144" t="s">
        <v>8</v>
      </c>
      <c r="B144" t="str">
        <f>"TA4"</f>
        <v>TA4</v>
      </c>
      <c r="C144">
        <f>C143+1</f>
        <v>55</v>
      </c>
      <c r="D144" s="2" t="str" cm="1">
        <f t="array" ref="D144">A144&amp;B144&amp;_xlfn.IFS(C144 &lt; 10,"B00"&amp;C144,AND(C144 &gt;= 10,C144 &lt; 100),"B0"&amp;C144,C144 &gt;= 100,"B"&amp;C144)</f>
        <v>SMTA4B055</v>
      </c>
      <c r="E144" t="s">
        <v>84</v>
      </c>
      <c r="F144" s="2" t="str">
        <f>SUBSTITUTE(E144,"DLP"," ")</f>
        <v>Sains Rumah Tangga</v>
      </c>
      <c r="G144" t="s">
        <v>85</v>
      </c>
      <c r="H144" s="2" t="str" cm="1">
        <f t="array" ref="H144">_xlfn.IFS(G144 = "KSSR","Kokurikulum Standard Sekolah Rendah",G144 = "KSSM","Kokurikulum Standard Sekolah Menengah",G144 = "KBDKBT","Kokurikulum Bersepadu Dini dan Kokurikulum Bersepadu Tahfiz",G144 = "SSeM","Sekolah Seni Malaysia",G144 = "KC","Kesusasteraan Cina",G144 = "KSSMPK","Pendidikan Khas",G144 = "MPEI","Mata Pelajaran Elektif Ikhtisas",G144 = "MPET","Mata Pelajaran Elektif Teknikal",G144 = "MPV","Mata Pelajaran Vokasional",G144 = "MPAK","Mata Pelajaran Aliran Kebangsaan")</f>
        <v>Mata Pelajaran Elektif Teknikal</v>
      </c>
      <c r="I144" t="str" cm="1">
        <f t="array" ref="I144">_xlfn.IFS(A144="SR","Sekolah Rendah",A144="SM","Sekolah Menengah")</f>
        <v>Sekolah Menengah</v>
      </c>
      <c r="J144" s="1" t="str" cm="1">
        <f t="array" ref="J144">_xlfn.SWITCH(B144,"T1","Tahun 1","T2","Tahun 2","T3","Tahun 3","T4","Tahun 4","T5","Tahun 5","T6","Tahun 6","TB1","Tingkatan 1","TB2","Tingkatan 2","TB3","Tingkatan 3","TA4","Tingkatan 4","TA5","Tingkatan 5")</f>
        <v>Tingkatan 4</v>
      </c>
      <c r="K144" t="b">
        <f>IF(COUNTIF(E144,"*DLP*"),TRUE)</f>
        <v>0</v>
      </c>
      <c r="L144" t="s">
        <v>130</v>
      </c>
    </row>
    <row r="145" spans="1:12" x14ac:dyDescent="0.3">
      <c r="A145" t="s">
        <v>8</v>
      </c>
      <c r="B145" t="str">
        <f>"TA4"</f>
        <v>TA4</v>
      </c>
      <c r="C145">
        <f>C144+1</f>
        <v>56</v>
      </c>
      <c r="D145" s="2" t="str" cm="1">
        <f t="array" ref="D145">A145&amp;B145&amp;_xlfn.IFS(C145 &lt; 10,"B00"&amp;C145,AND(C145 &gt;= 10,C145 &lt; 100),"B0"&amp;C145,C145 &gt;= 100,"B"&amp;C145)</f>
        <v>SMTA4B056</v>
      </c>
      <c r="E145" t="s">
        <v>69</v>
      </c>
      <c r="F145" s="2" t="str">
        <f>SUBSTITUTE(E145,"DLP"," ")</f>
        <v>Sains Sukan</v>
      </c>
      <c r="G145" t="s">
        <v>85</v>
      </c>
      <c r="H145" s="2" t="str" cm="1">
        <f t="array" ref="H145">_xlfn.IFS(G145 = "KSSR","Kokurikulum Standard Sekolah Rendah",G145 = "KSSM","Kokurikulum Standard Sekolah Menengah",G145 = "KBDKBT","Kokurikulum Bersepadu Dini dan Kokurikulum Bersepadu Tahfiz",G145 = "SSeM","Sekolah Seni Malaysia",G145 = "KC","Kesusasteraan Cina",G145 = "KSSMPK","Pendidikan Khas",G145 = "MPEI","Mata Pelajaran Elektif Ikhtisas",G145 = "MPET","Mata Pelajaran Elektif Teknikal",G145 = "MPV","Mata Pelajaran Vokasional",G145 = "MPAK","Mata Pelajaran Aliran Kebangsaan")</f>
        <v>Mata Pelajaran Elektif Teknikal</v>
      </c>
      <c r="I145" t="str" cm="1">
        <f t="array" ref="I145">_xlfn.IFS(A145="SR","Sekolah Rendah",A145="SM","Sekolah Menengah")</f>
        <v>Sekolah Menengah</v>
      </c>
      <c r="J145" s="1" t="str" cm="1">
        <f t="array" ref="J145">_xlfn.SWITCH(B145,"T1","Tahun 1","T2","Tahun 2","T3","Tahun 3","T4","Tahun 4","T5","Tahun 5","T6","Tahun 6","TB1","Tingkatan 1","TB2","Tingkatan 2","TB3","Tingkatan 3","TA4","Tingkatan 4","TA5","Tingkatan 5")</f>
        <v>Tingkatan 4</v>
      </c>
      <c r="K145" t="b">
        <f>IF(COUNTIF(E145,"*DLP*"),TRUE)</f>
        <v>0</v>
      </c>
      <c r="L145" t="s">
        <v>130</v>
      </c>
    </row>
    <row r="146" spans="1:12" x14ac:dyDescent="0.3">
      <c r="A146" t="s">
        <v>8</v>
      </c>
      <c r="B146" t="str">
        <f>"TA4"</f>
        <v>TA4</v>
      </c>
      <c r="C146">
        <f>C145+1</f>
        <v>57</v>
      </c>
      <c r="D146" s="2" t="str" cm="1">
        <f t="array" ref="D146">A146&amp;B146&amp;_xlfn.IFS(C146 &lt; 10,"B00"&amp;C146,AND(C146 &gt;= 10,C146 &lt; 100),"B0"&amp;C146,C146 &gt;= 100,"B"&amp;C146)</f>
        <v>SMTA4B057</v>
      </c>
      <c r="E146" t="s">
        <v>94</v>
      </c>
      <c r="F146" s="2" t="str">
        <f>SUBSTITUTE(E146,"DLP"," ")</f>
        <v>Akuakultur dan Haiwan Rekreasi</v>
      </c>
      <c r="G146" t="s">
        <v>108</v>
      </c>
      <c r="H146" s="2" t="str" cm="1">
        <f t="array" ref="H146">_xlfn.IFS(G146 = "KSSR","Kokurikulum Standard Sekolah Rendah",G146 = "KSSM","Kokurikulum Standard Sekolah Menengah",G146 = "KBDKBT","Kokurikulum Bersepadu Dini dan Kokurikulum Bersepadu Tahfiz",G146 = "SSeM","Sekolah Seni Malaysia",G146 = "KC","Kesusasteraan Cina",G146 = "KSSMPK","Pendidikan Khas",G146 = "MPEI","Mata Pelajaran Elektif Ikhtisas",G146 = "MPET","Mata Pelajaran Elektif Teknikal",G146 = "MPV","Mata Pelajaran Vokasional",G146 = "MPAK","Mata Pelajaran Aliran Kebangsaan")</f>
        <v>Mata Pelajaran Vokasional</v>
      </c>
      <c r="I146" t="str" cm="1">
        <f t="array" ref="I146">_xlfn.IFS(A146="SR","Sekolah Rendah",A146="SM","Sekolah Menengah")</f>
        <v>Sekolah Menengah</v>
      </c>
      <c r="J146" s="1" t="str" cm="1">
        <f t="array" ref="J146">_xlfn.SWITCH(B146,"T1","Tahun 1","T2","Tahun 2","T3","Tahun 3","T4","Tahun 4","T5","Tahun 5","T6","Tahun 6","TB1","Tingkatan 1","TB2","Tingkatan 2","TB3","Tingkatan 3","TA4","Tingkatan 4","TA5","Tingkatan 5")</f>
        <v>Tingkatan 4</v>
      </c>
      <c r="K146" t="b">
        <f>IF(COUNTIF(E146,"*DLP*"),TRUE)</f>
        <v>0</v>
      </c>
      <c r="L146" t="s">
        <v>130</v>
      </c>
    </row>
    <row r="147" spans="1:12" x14ac:dyDescent="0.3">
      <c r="A147" t="s">
        <v>8</v>
      </c>
      <c r="B147" t="str">
        <f>"TA4"</f>
        <v>TA4</v>
      </c>
      <c r="C147">
        <f>C146+1</f>
        <v>58</v>
      </c>
      <c r="D147" s="2" t="str" cm="1">
        <f t="array" ref="D147">A147&amp;B147&amp;_xlfn.IFS(C147 &lt; 10,"B00"&amp;C147,AND(C147 &gt;= 10,C147 &lt; 100),"B0"&amp;C147,C147 &gt;= 100,"B"&amp;C147)</f>
        <v>SMTA4B058</v>
      </c>
      <c r="E147" t="s">
        <v>95</v>
      </c>
      <c r="F147" s="2" t="str">
        <f>SUBSTITUTE(E147,"DLP"," ")</f>
        <v>Asuhan dan Pendidikan Awal Kanak-Kanak</v>
      </c>
      <c r="G147" t="s">
        <v>108</v>
      </c>
      <c r="H147" s="2" t="str" cm="1">
        <f t="array" ref="H147">_xlfn.IFS(G147 = "KSSR","Kokurikulum Standard Sekolah Rendah",G147 = "KSSM","Kokurikulum Standard Sekolah Menengah",G147 = "KBDKBT","Kokurikulum Bersepadu Dini dan Kokurikulum Bersepadu Tahfiz",G147 = "SSeM","Sekolah Seni Malaysia",G147 = "KC","Kesusasteraan Cina",G147 = "KSSMPK","Pendidikan Khas",G147 = "MPEI","Mata Pelajaran Elektif Ikhtisas",G147 = "MPET","Mata Pelajaran Elektif Teknikal",G147 = "MPV","Mata Pelajaran Vokasional",G147 = "MPAK","Mata Pelajaran Aliran Kebangsaan")</f>
        <v>Mata Pelajaran Vokasional</v>
      </c>
      <c r="I147" t="str" cm="1">
        <f t="array" ref="I147">_xlfn.IFS(A147="SR","Sekolah Rendah",A147="SM","Sekolah Menengah")</f>
        <v>Sekolah Menengah</v>
      </c>
      <c r="J147" s="1" t="str" cm="1">
        <f t="array" ref="J147">_xlfn.SWITCH(B147,"T1","Tahun 1","T2","Tahun 2","T3","Tahun 3","T4","Tahun 4","T5","Tahun 5","T6","Tahun 6","TB1","Tingkatan 1","TB2","Tingkatan 2","TB3","Tingkatan 3","TA4","Tingkatan 4","TA5","Tingkatan 5")</f>
        <v>Tingkatan 4</v>
      </c>
      <c r="K147" t="b">
        <f>IF(COUNTIF(E147,"*DLP*"),TRUE)</f>
        <v>0</v>
      </c>
      <c r="L147" t="s">
        <v>130</v>
      </c>
    </row>
    <row r="148" spans="1:12" x14ac:dyDescent="0.3">
      <c r="A148" t="s">
        <v>8</v>
      </c>
      <c r="B148" t="str">
        <f>"TA4"</f>
        <v>TA4</v>
      </c>
      <c r="C148">
        <f>C147+1</f>
        <v>59</v>
      </c>
      <c r="D148" s="2" t="str" cm="1">
        <f t="array" ref="D148">A148&amp;B148&amp;_xlfn.IFS(C148 &lt; 10,"B00"&amp;C148,AND(C148 &gt;= 10,C148 &lt; 100),"B0"&amp;C148,C148 &gt;= 100,"B"&amp;C148)</f>
        <v>SMTA4B059</v>
      </c>
      <c r="E148" t="s">
        <v>96</v>
      </c>
      <c r="F148" s="2" t="str">
        <f>SUBSTITUTE(E148,"DLP"," ")</f>
        <v>Gerontologi Asas dan Geriatrik</v>
      </c>
      <c r="G148" t="s">
        <v>108</v>
      </c>
      <c r="H148" s="2" t="str" cm="1">
        <f t="array" ref="H148">_xlfn.IFS(G148 = "KSSR","Kokurikulum Standard Sekolah Rendah",G148 = "KSSM","Kokurikulum Standard Sekolah Menengah",G148 = "KBDKBT","Kokurikulum Bersepadu Dini dan Kokurikulum Bersepadu Tahfiz",G148 = "SSeM","Sekolah Seni Malaysia",G148 = "KC","Kesusasteraan Cina",G148 = "KSSMPK","Pendidikan Khas",G148 = "MPEI","Mata Pelajaran Elektif Ikhtisas",G148 = "MPET","Mata Pelajaran Elektif Teknikal",G148 = "MPV","Mata Pelajaran Vokasional",G148 = "MPAK","Mata Pelajaran Aliran Kebangsaan")</f>
        <v>Mata Pelajaran Vokasional</v>
      </c>
      <c r="I148" t="str" cm="1">
        <f t="array" ref="I148">_xlfn.IFS(A148="SR","Sekolah Rendah",A148="SM","Sekolah Menengah")</f>
        <v>Sekolah Menengah</v>
      </c>
      <c r="J148" s="1" t="str" cm="1">
        <f t="array" ref="J148">_xlfn.SWITCH(B148,"T1","Tahun 1","T2","Tahun 2","T3","Tahun 3","T4","Tahun 4","T5","Tahun 5","T6","Tahun 6","TB1","Tingkatan 1","TB2","Tingkatan 2","TB3","Tingkatan 3","TA4","Tingkatan 4","TA5","Tingkatan 5")</f>
        <v>Tingkatan 4</v>
      </c>
      <c r="K148" t="b">
        <f>IF(COUNTIF(E148,"*DLP*"),TRUE)</f>
        <v>0</v>
      </c>
      <c r="L148" t="s">
        <v>130</v>
      </c>
    </row>
    <row r="149" spans="1:12" x14ac:dyDescent="0.3">
      <c r="A149" t="s">
        <v>8</v>
      </c>
      <c r="B149" t="str">
        <f>"TA4"</f>
        <v>TA4</v>
      </c>
      <c r="C149">
        <f>C148+1</f>
        <v>60</v>
      </c>
      <c r="D149" s="2" t="str" cm="1">
        <f t="array" ref="D149">A149&amp;B149&amp;_xlfn.IFS(C149 &lt; 10,"B00"&amp;C149,AND(C149 &gt;= 10,C149 &lt; 100),"B0"&amp;C149,C149 &gt;= 100,"B"&amp;C149)</f>
        <v>SMTA4B060</v>
      </c>
      <c r="E149" t="s">
        <v>86</v>
      </c>
      <c r="F149" s="2" t="str">
        <f>SUBSTITUTE(E149,"DLP"," ")</f>
        <v>Hiasan Dalaman</v>
      </c>
      <c r="G149" t="s">
        <v>108</v>
      </c>
      <c r="H149" s="2" t="str" cm="1">
        <f t="array" ref="H149">_xlfn.IFS(G149 = "KSSR","Kokurikulum Standard Sekolah Rendah",G149 = "KSSM","Kokurikulum Standard Sekolah Menengah",G149 = "KBDKBT","Kokurikulum Bersepadu Dini dan Kokurikulum Bersepadu Tahfiz",G149 = "SSeM","Sekolah Seni Malaysia",G149 = "KC","Kesusasteraan Cina",G149 = "KSSMPK","Pendidikan Khas",G149 = "MPEI","Mata Pelajaran Elektif Ikhtisas",G149 = "MPET","Mata Pelajaran Elektif Teknikal",G149 = "MPV","Mata Pelajaran Vokasional",G149 = "MPAK","Mata Pelajaran Aliran Kebangsaan")</f>
        <v>Mata Pelajaran Vokasional</v>
      </c>
      <c r="I149" t="str" cm="1">
        <f t="array" ref="I149">_xlfn.IFS(A149="SR","Sekolah Rendah",A149="SM","Sekolah Menengah")</f>
        <v>Sekolah Menengah</v>
      </c>
      <c r="J149" s="1" t="str" cm="1">
        <f t="array" ref="J149">_xlfn.SWITCH(B149,"T1","Tahun 1","T2","Tahun 2","T3","Tahun 3","T4","Tahun 4","T5","Tahun 5","T6","Tahun 6","TB1","Tingkatan 1","TB2","Tingkatan 2","TB3","Tingkatan 3","TA4","Tingkatan 4","TA5","Tingkatan 5")</f>
        <v>Tingkatan 4</v>
      </c>
      <c r="K149" t="b">
        <f>IF(COUNTIF(E149,"*DLP*"),TRUE)</f>
        <v>0</v>
      </c>
      <c r="L149" t="s">
        <v>130</v>
      </c>
    </row>
    <row r="150" spans="1:12" x14ac:dyDescent="0.3">
      <c r="A150" t="s">
        <v>8</v>
      </c>
      <c r="B150" t="str">
        <f>"TA4"</f>
        <v>TA4</v>
      </c>
      <c r="C150">
        <f>C149+1</f>
        <v>61</v>
      </c>
      <c r="D150" s="2" t="str" cm="1">
        <f t="array" ref="D150">A150&amp;B150&amp;_xlfn.IFS(C150 &lt; 10,"B00"&amp;C150,AND(C150 &gt;= 10,C150 &lt; 100),"B0"&amp;C150,C150 &gt;= 100,"B"&amp;C150)</f>
        <v>SMTA4B061</v>
      </c>
      <c r="E150" t="s">
        <v>87</v>
      </c>
      <c r="F150" s="2" t="str">
        <f>SUBSTITUTE(E150,"DLP"," ")</f>
        <v>Katering dan Penyajian</v>
      </c>
      <c r="G150" t="s">
        <v>108</v>
      </c>
      <c r="H150" s="2" t="str" cm="1">
        <f t="array" ref="H150">_xlfn.IFS(G150 = "KSSR","Kokurikulum Standard Sekolah Rendah",G150 = "KSSM","Kokurikulum Standard Sekolah Menengah",G150 = "KBDKBT","Kokurikulum Bersepadu Dini dan Kokurikulum Bersepadu Tahfiz",G150 = "SSeM","Sekolah Seni Malaysia",G150 = "KC","Kesusasteraan Cina",G150 = "KSSMPK","Pendidikan Khas",G150 = "MPEI","Mata Pelajaran Elektif Ikhtisas",G150 = "MPET","Mata Pelajaran Elektif Teknikal",G150 = "MPV","Mata Pelajaran Vokasional",G150 = "MPAK","Mata Pelajaran Aliran Kebangsaan")</f>
        <v>Mata Pelajaran Vokasional</v>
      </c>
      <c r="I150" t="str" cm="1">
        <f t="array" ref="I150">_xlfn.IFS(A150="SR","Sekolah Rendah",A150="SM","Sekolah Menengah")</f>
        <v>Sekolah Menengah</v>
      </c>
      <c r="J150" s="1" t="str" cm="1">
        <f t="array" ref="J150">_xlfn.SWITCH(B150,"T1","Tahun 1","T2","Tahun 2","T3","Tahun 3","T4","Tahun 4","T5","Tahun 5","T6","Tahun 6","TB1","Tingkatan 1","TB2","Tingkatan 2","TB3","Tingkatan 3","TA4","Tingkatan 4","TA5","Tingkatan 5")</f>
        <v>Tingkatan 4</v>
      </c>
      <c r="K150" t="b">
        <f>IF(COUNTIF(E150,"*DLP*"),TRUE)</f>
        <v>0</v>
      </c>
      <c r="L150" t="s">
        <v>130</v>
      </c>
    </row>
    <row r="151" spans="1:12" x14ac:dyDescent="0.3">
      <c r="A151" t="s">
        <v>8</v>
      </c>
      <c r="B151" t="str">
        <f>"TA4"</f>
        <v>TA4</v>
      </c>
      <c r="C151">
        <f>C150+1</f>
        <v>62</v>
      </c>
      <c r="D151" s="2" t="str" cm="1">
        <f t="array" ref="D151">A151&amp;B151&amp;_xlfn.IFS(C151 &lt; 10,"B00"&amp;C151,AND(C151 &gt;= 10,C151 &lt; 100),"B0"&amp;C151,C151 &gt;= 100,"B"&amp;C151)</f>
        <v>SMTA4B062</v>
      </c>
      <c r="E151" t="s">
        <v>97</v>
      </c>
      <c r="F151" s="2" t="str">
        <f>SUBSTITUTE(E151,"DLP"," ")</f>
        <v>Kerja Paip Domestik</v>
      </c>
      <c r="G151" t="s">
        <v>108</v>
      </c>
      <c r="H151" s="2" t="str" cm="1">
        <f t="array" ref="H151">_xlfn.IFS(G151 = "KSSR","Kokurikulum Standard Sekolah Rendah",G151 = "KSSM","Kokurikulum Standard Sekolah Menengah",G151 = "KBDKBT","Kokurikulum Bersepadu Dini dan Kokurikulum Bersepadu Tahfiz",G151 = "SSeM","Sekolah Seni Malaysia",G151 = "KC","Kesusasteraan Cina",G151 = "KSSMPK","Pendidikan Khas",G151 = "MPEI","Mata Pelajaran Elektif Ikhtisas",G151 = "MPET","Mata Pelajaran Elektif Teknikal",G151 = "MPV","Mata Pelajaran Vokasional",G151 = "MPAK","Mata Pelajaran Aliran Kebangsaan")</f>
        <v>Mata Pelajaran Vokasional</v>
      </c>
      <c r="I151" t="str" cm="1">
        <f t="array" ref="I151">_xlfn.IFS(A151="SR","Sekolah Rendah",A151="SM","Sekolah Menengah")</f>
        <v>Sekolah Menengah</v>
      </c>
      <c r="J151" s="1" t="str" cm="1">
        <f t="array" ref="J151">_xlfn.SWITCH(B151,"T1","Tahun 1","T2","Tahun 2","T3","Tahun 3","T4","Tahun 4","T5","Tahun 5","T6","Tahun 6","TB1","Tingkatan 1","TB2","Tingkatan 2","TB3","Tingkatan 3","TA4","Tingkatan 4","TA5","Tingkatan 5")</f>
        <v>Tingkatan 4</v>
      </c>
      <c r="K151" t="b">
        <f>IF(COUNTIF(E151,"*DLP*"),TRUE)</f>
        <v>0</v>
      </c>
      <c r="L151" t="s">
        <v>130</v>
      </c>
    </row>
    <row r="152" spans="1:12" x14ac:dyDescent="0.3">
      <c r="A152" t="s">
        <v>8</v>
      </c>
      <c r="B152" t="str">
        <f>"TA4"</f>
        <v>TA4</v>
      </c>
      <c r="C152">
        <f>C151+1</f>
        <v>63</v>
      </c>
      <c r="D152" s="2" t="str" cm="1">
        <f t="array" ref="D152">A152&amp;B152&amp;_xlfn.IFS(C152 &lt; 10,"B00"&amp;C152,AND(C152 &gt;= 10,C152 &lt; 100),"B0"&amp;C152,C152 &gt;= 100,"B"&amp;C152)</f>
        <v>SMTA4B063</v>
      </c>
      <c r="E152" t="s">
        <v>98</v>
      </c>
      <c r="F152" s="2" t="str">
        <f>SUBSTITUTE(E152,"DLP"," ")</f>
        <v>Kimpalan Arka dan Gas</v>
      </c>
      <c r="G152" t="s">
        <v>108</v>
      </c>
      <c r="H152" s="2" t="str" cm="1">
        <f t="array" ref="H152">_xlfn.IFS(G152 = "KSSR","Kokurikulum Standard Sekolah Rendah",G152 = "KSSM","Kokurikulum Standard Sekolah Menengah",G152 = "KBDKBT","Kokurikulum Bersepadu Dini dan Kokurikulum Bersepadu Tahfiz",G152 = "SSeM","Sekolah Seni Malaysia",G152 = "KC","Kesusasteraan Cina",G152 = "KSSMPK","Pendidikan Khas",G152 = "MPEI","Mata Pelajaran Elektif Ikhtisas",G152 = "MPET","Mata Pelajaran Elektif Teknikal",G152 = "MPV","Mata Pelajaran Vokasional",G152 = "MPAK","Mata Pelajaran Aliran Kebangsaan")</f>
        <v>Mata Pelajaran Vokasional</v>
      </c>
      <c r="I152" t="str" cm="1">
        <f t="array" ref="I152">_xlfn.IFS(A152="SR","Sekolah Rendah",A152="SM","Sekolah Menengah")</f>
        <v>Sekolah Menengah</v>
      </c>
      <c r="J152" s="1" t="str" cm="1">
        <f t="array" ref="J152">_xlfn.SWITCH(B152,"T1","Tahun 1","T2","Tahun 2","T3","Tahun 3","T4","Tahun 4","T5","Tahun 5","T6","Tahun 6","TB1","Tingkatan 1","TB2","Tingkatan 2","TB3","Tingkatan 3","TA4","Tingkatan 4","TA5","Tingkatan 5")</f>
        <v>Tingkatan 4</v>
      </c>
      <c r="K152" t="b">
        <f>IF(COUNTIF(E152,"*DLP*"),TRUE)</f>
        <v>0</v>
      </c>
      <c r="L152" t="s">
        <v>130</v>
      </c>
    </row>
    <row r="153" spans="1:12" x14ac:dyDescent="0.3">
      <c r="A153" t="s">
        <v>8</v>
      </c>
      <c r="B153" t="str">
        <f>"TA4"</f>
        <v>TA4</v>
      </c>
      <c r="C153">
        <f>C152+1</f>
        <v>64</v>
      </c>
      <c r="D153" s="2" t="str" cm="1">
        <f t="array" ref="D153">A153&amp;B153&amp;_xlfn.IFS(C153 &lt; 10,"B00"&amp;C153,AND(C153 &gt;= 10,C153 &lt; 100),"B0"&amp;C153,C153 &gt;= 100,"B"&amp;C153)</f>
        <v>SMTA4B064</v>
      </c>
      <c r="E153" t="s">
        <v>88</v>
      </c>
      <c r="F153" s="2" t="str">
        <f>SUBSTITUTE(E153,"DLP"," ")</f>
        <v>Landskap dan Nurseri</v>
      </c>
      <c r="G153" t="s">
        <v>108</v>
      </c>
      <c r="H153" s="2" t="str" cm="1">
        <f t="array" ref="H153">_xlfn.IFS(G153 = "KSSR","Kokurikulum Standard Sekolah Rendah",G153 = "KSSM","Kokurikulum Standard Sekolah Menengah",G153 = "KBDKBT","Kokurikulum Bersepadu Dini dan Kokurikulum Bersepadu Tahfiz",G153 = "SSeM","Sekolah Seni Malaysia",G153 = "KC","Kesusasteraan Cina",G153 = "KSSMPK","Pendidikan Khas",G153 = "MPEI","Mata Pelajaran Elektif Ikhtisas",G153 = "MPET","Mata Pelajaran Elektif Teknikal",G153 = "MPV","Mata Pelajaran Vokasional",G153 = "MPAK","Mata Pelajaran Aliran Kebangsaan")</f>
        <v>Mata Pelajaran Vokasional</v>
      </c>
      <c r="I153" t="str" cm="1">
        <f t="array" ref="I153">_xlfn.IFS(A153="SR","Sekolah Rendah",A153="SM","Sekolah Menengah")</f>
        <v>Sekolah Menengah</v>
      </c>
      <c r="J153" s="1" t="str" cm="1">
        <f t="array" ref="J153">_xlfn.SWITCH(B153,"T1","Tahun 1","T2","Tahun 2","T3","Tahun 3","T4","Tahun 4","T5","Tahun 5","T6","Tahun 6","TB1","Tingkatan 1","TB2","Tingkatan 2","TB3","Tingkatan 3","TA4","Tingkatan 4","TA5","Tingkatan 5")</f>
        <v>Tingkatan 4</v>
      </c>
      <c r="K153" t="b">
        <f>IF(COUNTIF(E153,"*DLP*"),TRUE)</f>
        <v>0</v>
      </c>
      <c r="L153" t="s">
        <v>130</v>
      </c>
    </row>
    <row r="154" spans="1:12" x14ac:dyDescent="0.3">
      <c r="A154" t="s">
        <v>8</v>
      </c>
      <c r="B154" t="str">
        <f>"TA4"</f>
        <v>TA4</v>
      </c>
      <c r="C154">
        <f>C153+1</f>
        <v>65</v>
      </c>
      <c r="D154" s="2" t="str" cm="1">
        <f t="array" ref="D154">A154&amp;B154&amp;_xlfn.IFS(C154 &lt; 10,"B00"&amp;C154,AND(C154 &gt;= 10,C154 &lt; 100),"B0"&amp;C154,C154 &gt;= 100,"B"&amp;C154)</f>
        <v>SMTA4B065</v>
      </c>
      <c r="E154" t="s">
        <v>89</v>
      </c>
      <c r="F154" s="2" t="str">
        <f>SUBSTITUTE(E154,"DLP"," ")</f>
        <v>Menservis Automobil</v>
      </c>
      <c r="G154" t="s">
        <v>108</v>
      </c>
      <c r="H154" s="2" t="str" cm="1">
        <f t="array" ref="H154">_xlfn.IFS(G154 = "KSSR","Kokurikulum Standard Sekolah Rendah",G154 = "KSSM","Kokurikulum Standard Sekolah Menengah",G154 = "KBDKBT","Kokurikulum Bersepadu Dini dan Kokurikulum Bersepadu Tahfiz",G154 = "SSeM","Sekolah Seni Malaysia",G154 = "KC","Kesusasteraan Cina",G154 = "KSSMPK","Pendidikan Khas",G154 = "MPEI","Mata Pelajaran Elektif Ikhtisas",G154 = "MPET","Mata Pelajaran Elektif Teknikal",G154 = "MPV","Mata Pelajaran Vokasional",G154 = "MPAK","Mata Pelajaran Aliran Kebangsaan")</f>
        <v>Mata Pelajaran Vokasional</v>
      </c>
      <c r="I154" t="str" cm="1">
        <f t="array" ref="I154">_xlfn.IFS(A154="SR","Sekolah Rendah",A154="SM","Sekolah Menengah")</f>
        <v>Sekolah Menengah</v>
      </c>
      <c r="J154" s="1" t="str" cm="1">
        <f t="array" ref="J154">_xlfn.SWITCH(B154,"T1","Tahun 1","T2","Tahun 2","T3","Tahun 3","T4","Tahun 4","T5","Tahun 5","T6","Tahun 6","TB1","Tingkatan 1","TB2","Tingkatan 2","TB3","Tingkatan 3","TA4","Tingkatan 4","TA5","Tingkatan 5")</f>
        <v>Tingkatan 4</v>
      </c>
      <c r="K154" t="b">
        <f>IF(COUNTIF(E154,"*DLP*"),TRUE)</f>
        <v>0</v>
      </c>
      <c r="L154" t="s">
        <v>130</v>
      </c>
    </row>
    <row r="155" spans="1:12" x14ac:dyDescent="0.3">
      <c r="A155" t="s">
        <v>8</v>
      </c>
      <c r="B155" t="str">
        <f>"TA4"</f>
        <v>TA4</v>
      </c>
      <c r="C155">
        <f>C154+1</f>
        <v>66</v>
      </c>
      <c r="D155" s="2" t="str" cm="1">
        <f t="array" ref="D155">A155&amp;B155&amp;_xlfn.IFS(C155 &lt; 10,"B00"&amp;C155,AND(C155 &gt;= 10,C155 &lt; 100),"B0"&amp;C155,C155 &gt;= 100,"B"&amp;C155)</f>
        <v>SMTA4B066</v>
      </c>
      <c r="E155" t="s">
        <v>89</v>
      </c>
      <c r="F155" s="2" t="str">
        <f>SUBSTITUTE(E155,"DLP"," ")</f>
        <v>Menservis Automobil</v>
      </c>
      <c r="G155" t="s">
        <v>108</v>
      </c>
      <c r="H155" s="2" t="str" cm="1">
        <f t="array" ref="H155">_xlfn.IFS(G155 = "KSSR","Kokurikulum Standard Sekolah Rendah",G155 = "KSSM","Kokurikulum Standard Sekolah Menengah",G155 = "KBDKBT","Kokurikulum Bersepadu Dini dan Kokurikulum Bersepadu Tahfiz",G155 = "SSeM","Sekolah Seni Malaysia",G155 = "KC","Kesusasteraan Cina",G155 = "KSSMPK","Pendidikan Khas",G155 = "MPEI","Mata Pelajaran Elektif Ikhtisas",G155 = "MPET","Mata Pelajaran Elektif Teknikal",G155 = "MPV","Mata Pelajaran Vokasional",G155 = "MPAK","Mata Pelajaran Aliran Kebangsaan")</f>
        <v>Mata Pelajaran Vokasional</v>
      </c>
      <c r="I155" t="str" cm="1">
        <f t="array" ref="I155">_xlfn.IFS(A155="SR","Sekolah Rendah",A155="SM","Sekolah Menengah")</f>
        <v>Sekolah Menengah</v>
      </c>
      <c r="J155" s="1" t="str" cm="1">
        <f t="array" ref="J155">_xlfn.SWITCH(B155,"T1","Tahun 1","T2","Tahun 2","T3","Tahun 3","T4","Tahun 4","T5","Tahun 5","T6","Tahun 6","TB1","Tingkatan 1","TB2","Tingkatan 2","TB3","Tingkatan 3","TA4","Tingkatan 4","TA5","Tingkatan 5")</f>
        <v>Tingkatan 4</v>
      </c>
      <c r="K155" t="b">
        <f>IF(COUNTIF(E155,"*DLP*"),TRUE)</f>
        <v>0</v>
      </c>
      <c r="L155" t="s">
        <v>130</v>
      </c>
    </row>
    <row r="156" spans="1:12" x14ac:dyDescent="0.3">
      <c r="A156" t="s">
        <v>8</v>
      </c>
      <c r="B156" t="str">
        <f>"TA4"</f>
        <v>TA4</v>
      </c>
      <c r="C156">
        <f>C155+1</f>
        <v>67</v>
      </c>
      <c r="D156" s="2" t="str" cm="1">
        <f t="array" ref="D156">A156&amp;B156&amp;_xlfn.IFS(C156 &lt; 10,"B00"&amp;C156,AND(C156 &gt;= 10,C156 &lt; 100),"B0"&amp;C156,C156 &gt;= 100,"B"&amp;C156)</f>
        <v>SMTA4B067</v>
      </c>
      <c r="E156" t="s">
        <v>100</v>
      </c>
      <c r="F156" s="2" t="str">
        <f>SUBSTITUTE(E156,"DLP"," ")</f>
        <v>Menservis Motosikal</v>
      </c>
      <c r="G156" t="s">
        <v>108</v>
      </c>
      <c r="H156" s="2" t="str" cm="1">
        <f t="array" ref="H156">_xlfn.IFS(G156 = "KSSR","Kokurikulum Standard Sekolah Rendah",G156 = "KSSM","Kokurikulum Standard Sekolah Menengah",G156 = "KBDKBT","Kokurikulum Bersepadu Dini dan Kokurikulum Bersepadu Tahfiz",G156 = "SSeM","Sekolah Seni Malaysia",G156 = "KC","Kesusasteraan Cina",G156 = "KSSMPK","Pendidikan Khas",G156 = "MPEI","Mata Pelajaran Elektif Ikhtisas",G156 = "MPET","Mata Pelajaran Elektif Teknikal",G156 = "MPV","Mata Pelajaran Vokasional",G156 = "MPAK","Mata Pelajaran Aliran Kebangsaan")</f>
        <v>Mata Pelajaran Vokasional</v>
      </c>
      <c r="I156" t="str" cm="1">
        <f t="array" ref="I156">_xlfn.IFS(A156="SR","Sekolah Rendah",A156="SM","Sekolah Menengah")</f>
        <v>Sekolah Menengah</v>
      </c>
      <c r="J156" s="1" t="str" cm="1">
        <f t="array" ref="J156">_xlfn.SWITCH(B156,"T1","Tahun 1","T2","Tahun 2","T3","Tahun 3","T4","Tahun 4","T5","Tahun 5","T6","Tahun 6","TB1","Tingkatan 1","TB2","Tingkatan 2","TB3","Tingkatan 3","TA4","Tingkatan 4","TA5","Tingkatan 5")</f>
        <v>Tingkatan 4</v>
      </c>
      <c r="K156" t="b">
        <f>IF(COUNTIF(E156,"*DLP*"),TRUE)</f>
        <v>0</v>
      </c>
      <c r="L156" t="s">
        <v>130</v>
      </c>
    </row>
    <row r="157" spans="1:12" x14ac:dyDescent="0.3">
      <c r="A157" t="s">
        <v>8</v>
      </c>
      <c r="B157" t="str">
        <f>"TA4"</f>
        <v>TA4</v>
      </c>
      <c r="C157">
        <f>C156+1</f>
        <v>68</v>
      </c>
      <c r="D157" s="2" t="str" cm="1">
        <f t="array" ref="D157">A157&amp;B157&amp;_xlfn.IFS(C157 &lt; 10,"B00"&amp;C157,AND(C157 &gt;= 10,C157 &lt; 100),"B0"&amp;C157,C157 &gt;= 100,"B"&amp;C157)</f>
        <v>SMTA4B068</v>
      </c>
      <c r="E157" t="s">
        <v>99</v>
      </c>
      <c r="F157" s="2" t="str">
        <f>SUBSTITUTE(E157,"DLP"," ")</f>
        <v>Menservis Penyejuk dan Penyaman Udara</v>
      </c>
      <c r="G157" t="s">
        <v>108</v>
      </c>
      <c r="H157" s="2" t="str" cm="1">
        <f t="array" ref="H157">_xlfn.IFS(G157 = "KSSR","Kokurikulum Standard Sekolah Rendah",G157 = "KSSM","Kokurikulum Standard Sekolah Menengah",G157 = "KBDKBT","Kokurikulum Bersepadu Dini dan Kokurikulum Bersepadu Tahfiz",G157 = "SSeM","Sekolah Seni Malaysia",G157 = "KC","Kesusasteraan Cina",G157 = "KSSMPK","Pendidikan Khas",G157 = "MPEI","Mata Pelajaran Elektif Ikhtisas",G157 = "MPET","Mata Pelajaran Elektif Teknikal",G157 = "MPV","Mata Pelajaran Vokasional",G157 = "MPAK","Mata Pelajaran Aliran Kebangsaan")</f>
        <v>Mata Pelajaran Vokasional</v>
      </c>
      <c r="I157" t="str" cm="1">
        <f t="array" ref="I157">_xlfn.IFS(A157="SR","Sekolah Rendah",A157="SM","Sekolah Menengah")</f>
        <v>Sekolah Menengah</v>
      </c>
      <c r="J157" s="1" t="str" cm="1">
        <f t="array" ref="J157">_xlfn.SWITCH(B157,"T1","Tahun 1","T2","Tahun 2","T3","Tahun 3","T4","Tahun 4","T5","Tahun 5","T6","Tahun 6","TB1","Tingkatan 1","TB2","Tingkatan 2","TB3","Tingkatan 3","TA4","Tingkatan 4","TA5","Tingkatan 5")</f>
        <v>Tingkatan 4</v>
      </c>
      <c r="K157" t="b">
        <f>IF(COUNTIF(E157,"*DLP*"),TRUE)</f>
        <v>0</v>
      </c>
      <c r="L157" t="s">
        <v>130</v>
      </c>
    </row>
    <row r="158" spans="1:12" x14ac:dyDescent="0.3">
      <c r="A158" t="s">
        <v>8</v>
      </c>
      <c r="B158" t="str">
        <f>"TA4"</f>
        <v>TA4</v>
      </c>
      <c r="C158">
        <f>C157+1</f>
        <v>69</v>
      </c>
      <c r="D158" s="2" t="str" cm="1">
        <f t="array" ref="D158">A158&amp;B158&amp;_xlfn.IFS(C158 &lt; 10,"B00"&amp;C158,AND(C158 &gt;= 10,C158 &lt; 100),"B0"&amp;C158,C158 &gt;= 100,"B"&amp;C158)</f>
        <v>SMTA4B069</v>
      </c>
      <c r="E158" t="s">
        <v>90</v>
      </c>
      <c r="F158" s="2" t="str">
        <f>SUBSTITUTE(E158,"DLP"," ")</f>
        <v>Menservis Peralatan Elektrik Domestik</v>
      </c>
      <c r="G158" t="s">
        <v>108</v>
      </c>
      <c r="H158" s="2" t="str" cm="1">
        <f t="array" ref="H158">_xlfn.IFS(G158 = "KSSR","Kokurikulum Standard Sekolah Rendah",G158 = "KSSM","Kokurikulum Standard Sekolah Menengah",G158 = "KBDKBT","Kokurikulum Bersepadu Dini dan Kokurikulum Bersepadu Tahfiz",G158 = "SSeM","Sekolah Seni Malaysia",G158 = "KC","Kesusasteraan Cina",G158 = "KSSMPK","Pendidikan Khas",G158 = "MPEI","Mata Pelajaran Elektif Ikhtisas",G158 = "MPET","Mata Pelajaran Elektif Teknikal",G158 = "MPV","Mata Pelajaran Vokasional",G158 = "MPAK","Mata Pelajaran Aliran Kebangsaan")</f>
        <v>Mata Pelajaran Vokasional</v>
      </c>
      <c r="I158" t="str" cm="1">
        <f t="array" ref="I158">_xlfn.IFS(A158="SR","Sekolah Rendah",A158="SM","Sekolah Menengah")</f>
        <v>Sekolah Menengah</v>
      </c>
      <c r="J158" s="1" t="str" cm="1">
        <f t="array" ref="J158">_xlfn.SWITCH(B158,"T1","Tahun 1","T2","Tahun 2","T3","Tahun 3","T4","Tahun 4","T5","Tahun 5","T6","Tahun 6","TB1","Tingkatan 1","TB2","Tingkatan 2","TB3","Tingkatan 3","TA4","Tingkatan 4","TA5","Tingkatan 5")</f>
        <v>Tingkatan 4</v>
      </c>
      <c r="K158" t="b">
        <f>IF(COUNTIF(E158,"*DLP*"),TRUE)</f>
        <v>0</v>
      </c>
      <c r="L158" t="s">
        <v>130</v>
      </c>
    </row>
    <row r="159" spans="1:12" x14ac:dyDescent="0.3">
      <c r="A159" t="s">
        <v>8</v>
      </c>
      <c r="B159" t="str">
        <f>"TA4"</f>
        <v>TA4</v>
      </c>
      <c r="C159">
        <f>C158+1</f>
        <v>70</v>
      </c>
      <c r="D159" s="2" t="str" cm="1">
        <f t="array" ref="D159">A159&amp;B159&amp;_xlfn.IFS(C159 &lt; 10,"B00"&amp;C159,AND(C159 &gt;= 10,C159 &lt; 100),"B0"&amp;C159,C159 &gt;= 100,"B"&amp;C159)</f>
        <v>SMTA4B070</v>
      </c>
      <c r="E159" t="s">
        <v>101</v>
      </c>
      <c r="F159" s="2" t="str">
        <f>SUBSTITUTE(E159,"DLP"," ")</f>
        <v>Pembinaan Domestik</v>
      </c>
      <c r="G159" t="s">
        <v>108</v>
      </c>
      <c r="H159" s="2" t="str" cm="1">
        <f t="array" ref="H159">_xlfn.IFS(G159 = "KSSR","Kokurikulum Standard Sekolah Rendah",G159 = "KSSM","Kokurikulum Standard Sekolah Menengah",G159 = "KBDKBT","Kokurikulum Bersepadu Dini dan Kokurikulum Bersepadu Tahfiz",G159 = "SSeM","Sekolah Seni Malaysia",G159 = "KC","Kesusasteraan Cina",G159 = "KSSMPK","Pendidikan Khas",G159 = "MPEI","Mata Pelajaran Elektif Ikhtisas",G159 = "MPET","Mata Pelajaran Elektif Teknikal",G159 = "MPV","Mata Pelajaran Vokasional",G159 = "MPAK","Mata Pelajaran Aliran Kebangsaan")</f>
        <v>Mata Pelajaran Vokasional</v>
      </c>
      <c r="I159" t="str" cm="1">
        <f t="array" ref="I159">_xlfn.IFS(A159="SR","Sekolah Rendah",A159="SM","Sekolah Menengah")</f>
        <v>Sekolah Menengah</v>
      </c>
      <c r="J159" s="1" t="str" cm="1">
        <f t="array" ref="J159">_xlfn.SWITCH(B159,"T1","Tahun 1","T2","Tahun 2","T3","Tahun 3","T4","Tahun 4","T5","Tahun 5","T6","Tahun 6","TB1","Tingkatan 1","TB2","Tingkatan 2","TB3","Tingkatan 3","TA4","Tingkatan 4","TA5","Tingkatan 5")</f>
        <v>Tingkatan 4</v>
      </c>
      <c r="K159" t="b">
        <f>IF(COUNTIF(E159,"*DLP*"),TRUE)</f>
        <v>0</v>
      </c>
      <c r="L159" t="s">
        <v>130</v>
      </c>
    </row>
    <row r="160" spans="1:12" x14ac:dyDescent="0.3">
      <c r="A160" t="s">
        <v>8</v>
      </c>
      <c r="B160" t="str">
        <f>"TA4"</f>
        <v>TA4</v>
      </c>
      <c r="C160">
        <f>C159+1</f>
        <v>71</v>
      </c>
      <c r="D160" s="2" t="str" cm="1">
        <f t="array" ref="D160">A160&amp;B160&amp;_xlfn.IFS(C160 &lt; 10,"B00"&amp;C160,AND(C160 &gt;= 10,C160 &lt; 100),"B0"&amp;C160,C160 &gt;= 100,"B"&amp;C160)</f>
        <v>SMTA4B071</v>
      </c>
      <c r="E160" t="s">
        <v>102</v>
      </c>
      <c r="F160" s="2" t="str">
        <f>SUBSTITUTE(E160,"DLP"," ")</f>
        <v>Pembuatan Perabot</v>
      </c>
      <c r="G160" t="s">
        <v>108</v>
      </c>
      <c r="H160" s="2" t="str" cm="1">
        <f t="array" ref="H160">_xlfn.IFS(G160 = "KSSR","Kokurikulum Standard Sekolah Rendah",G160 = "KSSM","Kokurikulum Standard Sekolah Menengah",G160 = "KBDKBT","Kokurikulum Bersepadu Dini dan Kokurikulum Bersepadu Tahfiz",G160 = "SSeM","Sekolah Seni Malaysia",G160 = "KC","Kesusasteraan Cina",G160 = "KSSMPK","Pendidikan Khas",G160 = "MPEI","Mata Pelajaran Elektif Ikhtisas",G160 = "MPET","Mata Pelajaran Elektif Teknikal",G160 = "MPV","Mata Pelajaran Vokasional",G160 = "MPAK","Mata Pelajaran Aliran Kebangsaan")</f>
        <v>Mata Pelajaran Vokasional</v>
      </c>
      <c r="I160" t="str" cm="1">
        <f t="array" ref="I160">_xlfn.IFS(A160="SR","Sekolah Rendah",A160="SM","Sekolah Menengah")</f>
        <v>Sekolah Menengah</v>
      </c>
      <c r="J160" s="1" t="str" cm="1">
        <f t="array" ref="J160">_xlfn.SWITCH(B160,"T1","Tahun 1","T2","Tahun 2","T3","Tahun 3","T4","Tahun 4","T5","Tahun 5","T6","Tahun 6","TB1","Tingkatan 1","TB2","Tingkatan 2","TB3","Tingkatan 3","TA4","Tingkatan 4","TA5","Tingkatan 5")</f>
        <v>Tingkatan 4</v>
      </c>
      <c r="K160" t="b">
        <f>IF(COUNTIF(E160,"*DLP*"),TRUE)</f>
        <v>0</v>
      </c>
      <c r="L160" t="s">
        <v>130</v>
      </c>
    </row>
    <row r="161" spans="1:12" x14ac:dyDescent="0.3">
      <c r="A161" t="s">
        <v>8</v>
      </c>
      <c r="B161" t="str">
        <f>"TA4"</f>
        <v>TA4</v>
      </c>
      <c r="C161">
        <f>C160+1</f>
        <v>72</v>
      </c>
      <c r="D161" s="2" t="str" cm="1">
        <f t="array" ref="D161">A161&amp;B161&amp;_xlfn.IFS(C161 &lt; 10,"B00"&amp;C161,AND(C161 &gt;= 10,C161 &lt; 100),"B0"&amp;C161,C161 &gt;= 100,"B"&amp;C161)</f>
        <v>SMTA4B072</v>
      </c>
      <c r="E161" t="s">
        <v>103</v>
      </c>
      <c r="F161" s="2" t="str">
        <f>SUBSTITUTE(E161,"DLP"," ")</f>
        <v>Pemprosesan Makanan</v>
      </c>
      <c r="G161" t="s">
        <v>108</v>
      </c>
      <c r="H161" s="2" t="str" cm="1">
        <f t="array" ref="H161">_xlfn.IFS(G161 = "KSSR","Kokurikulum Standard Sekolah Rendah",G161 = "KSSM","Kokurikulum Standard Sekolah Menengah",G161 = "KBDKBT","Kokurikulum Bersepadu Dini dan Kokurikulum Bersepadu Tahfiz",G161 = "SSeM","Sekolah Seni Malaysia",G161 = "KC","Kesusasteraan Cina",G161 = "KSSMPK","Pendidikan Khas",G161 = "MPEI","Mata Pelajaran Elektif Ikhtisas",G161 = "MPET","Mata Pelajaran Elektif Teknikal",G161 = "MPV","Mata Pelajaran Vokasional",G161 = "MPAK","Mata Pelajaran Aliran Kebangsaan")</f>
        <v>Mata Pelajaran Vokasional</v>
      </c>
      <c r="I161" t="str" cm="1">
        <f t="array" ref="I161">_xlfn.IFS(A161="SR","Sekolah Rendah",A161="SM","Sekolah Menengah")</f>
        <v>Sekolah Menengah</v>
      </c>
      <c r="J161" s="1" t="str" cm="1">
        <f t="array" ref="J161">_xlfn.SWITCH(B161,"T1","Tahun 1","T2","Tahun 2","T3","Tahun 3","T4","Tahun 4","T5","Tahun 5","T6","Tahun 6","TB1","Tingkatan 1","TB2","Tingkatan 2","TB3","Tingkatan 3","TA4","Tingkatan 4","TA5","Tingkatan 5")</f>
        <v>Tingkatan 4</v>
      </c>
      <c r="K161" t="b">
        <f>IF(COUNTIF(E161,"*DLP*"),TRUE)</f>
        <v>0</v>
      </c>
      <c r="L161" t="s">
        <v>130</v>
      </c>
    </row>
    <row r="162" spans="1:12" x14ac:dyDescent="0.3">
      <c r="A162" t="s">
        <v>8</v>
      </c>
      <c r="B162" t="str">
        <f>"TA4"</f>
        <v>TA4</v>
      </c>
      <c r="C162">
        <f>C161+1</f>
        <v>73</v>
      </c>
      <c r="D162" s="2" t="str" cm="1">
        <f t="array" ref="D162">A162&amp;B162&amp;_xlfn.IFS(C162 &lt; 10,"B00"&amp;C162,AND(C162 &gt;= 10,C162 &lt; 100),"B0"&amp;C162,C162 &gt;= 100,"B"&amp;C162)</f>
        <v>SMTA4B073</v>
      </c>
      <c r="E162" t="s">
        <v>104</v>
      </c>
      <c r="F162" s="2" t="str">
        <f>SUBSTITUTE(E162,"DLP"," ")</f>
        <v>Pendawaian Domestik</v>
      </c>
      <c r="G162" t="s">
        <v>108</v>
      </c>
      <c r="H162" s="2" t="str" cm="1">
        <f t="array" ref="H162">_xlfn.IFS(G162 = "KSSR","Kokurikulum Standard Sekolah Rendah",G162 = "KSSM","Kokurikulum Standard Sekolah Menengah",G162 = "KBDKBT","Kokurikulum Bersepadu Dini dan Kokurikulum Bersepadu Tahfiz",G162 = "SSeM","Sekolah Seni Malaysia",G162 = "KC","Kesusasteraan Cina",G162 = "KSSMPK","Pendidikan Khas",G162 = "MPEI","Mata Pelajaran Elektif Ikhtisas",G162 = "MPET","Mata Pelajaran Elektif Teknikal",G162 = "MPV","Mata Pelajaran Vokasional",G162 = "MPAK","Mata Pelajaran Aliran Kebangsaan")</f>
        <v>Mata Pelajaran Vokasional</v>
      </c>
      <c r="I162" t="str" cm="1">
        <f t="array" ref="I162">_xlfn.IFS(A162="SR","Sekolah Rendah",A162="SM","Sekolah Menengah")</f>
        <v>Sekolah Menengah</v>
      </c>
      <c r="J162" s="1" t="str" cm="1">
        <f t="array" ref="J162">_xlfn.SWITCH(B162,"T1","Tahun 1","T2","Tahun 2","T3","Tahun 3","T4","Tahun 4","T5","Tahun 5","T6","Tahun 6","TB1","Tingkatan 1","TB2","Tingkatan 2","TB3","Tingkatan 3","TA4","Tingkatan 4","TA5","Tingkatan 5")</f>
        <v>Tingkatan 4</v>
      </c>
      <c r="K162" t="b">
        <f>IF(COUNTIF(E162,"*DLP*"),TRUE)</f>
        <v>0</v>
      </c>
      <c r="L162" t="s">
        <v>130</v>
      </c>
    </row>
    <row r="163" spans="1:12" x14ac:dyDescent="0.3">
      <c r="A163" t="s">
        <v>8</v>
      </c>
      <c r="B163" t="str">
        <f>"TA4"</f>
        <v>TA4</v>
      </c>
      <c r="C163">
        <f>C162+1</f>
        <v>74</v>
      </c>
      <c r="D163" s="2" t="str" cm="1">
        <f t="array" ref="D163">A163&amp;B163&amp;_xlfn.IFS(C163 &lt; 10,"B00"&amp;C163,AND(C163 &gt;= 10,C163 &lt; 100),"B0"&amp;C163,C163 &gt;= 100,"B"&amp;C163)</f>
        <v>SMTA4B074</v>
      </c>
      <c r="E163" t="s">
        <v>105</v>
      </c>
      <c r="F163" s="2" t="str">
        <f>SUBSTITUTE(E163,"DLP"," ")</f>
        <v>Penjagaan Muka dan Pengayaan Rambut</v>
      </c>
      <c r="G163" t="s">
        <v>108</v>
      </c>
      <c r="H163" s="2" t="str" cm="1">
        <f t="array" ref="H163">_xlfn.IFS(G163 = "KSSR","Kokurikulum Standard Sekolah Rendah",G163 = "KSSM","Kokurikulum Standard Sekolah Menengah",G163 = "KBDKBT","Kokurikulum Bersepadu Dini dan Kokurikulum Bersepadu Tahfiz",G163 = "SSeM","Sekolah Seni Malaysia",G163 = "KC","Kesusasteraan Cina",G163 = "KSSMPK","Pendidikan Khas",G163 = "MPEI","Mata Pelajaran Elektif Ikhtisas",G163 = "MPET","Mata Pelajaran Elektif Teknikal",G163 = "MPV","Mata Pelajaran Vokasional",G163 = "MPAK","Mata Pelajaran Aliran Kebangsaan")</f>
        <v>Mata Pelajaran Vokasional</v>
      </c>
      <c r="I163" t="str" cm="1">
        <f t="array" ref="I163">_xlfn.IFS(A163="SR","Sekolah Rendah",A163="SM","Sekolah Menengah")</f>
        <v>Sekolah Menengah</v>
      </c>
      <c r="J163" s="1" t="str" cm="1">
        <f t="array" ref="J163">_xlfn.SWITCH(B163,"T1","Tahun 1","T2","Tahun 2","T3","Tahun 3","T4","Tahun 4","T5","Tahun 5","T6","Tahun 6","TB1","Tingkatan 1","TB2","Tingkatan 2","TB3","Tingkatan 3","TA4","Tingkatan 4","TA5","Tingkatan 5")</f>
        <v>Tingkatan 4</v>
      </c>
      <c r="K163" t="b">
        <f>IF(COUNTIF(E163,"*DLP*"),TRUE)</f>
        <v>0</v>
      </c>
      <c r="L163" t="s">
        <v>130</v>
      </c>
    </row>
    <row r="164" spans="1:12" x14ac:dyDescent="0.3">
      <c r="A164" t="s">
        <v>8</v>
      </c>
      <c r="B164" t="str">
        <f>"TA4"</f>
        <v>TA4</v>
      </c>
      <c r="C164">
        <f>C163+1</f>
        <v>75</v>
      </c>
      <c r="D164" s="2" t="str" cm="1">
        <f t="array" ref="D164">A164&amp;B164&amp;_xlfn.IFS(C164 &lt; 10,"B00"&amp;C164,AND(C164 &gt;= 10,C164 &lt; 100),"B0"&amp;C164,C164 &gt;= 100,"B"&amp;C164)</f>
        <v>SMTA4B075</v>
      </c>
      <c r="E164" t="s">
        <v>91</v>
      </c>
      <c r="F164" s="2" t="str">
        <f>SUBSTITUTE(E164,"DLP"," ")</f>
        <v>Produksi Multimedia</v>
      </c>
      <c r="G164" t="s">
        <v>108</v>
      </c>
      <c r="H164" s="2" t="str" cm="1">
        <f t="array" ref="H164">_xlfn.IFS(G164 = "KSSR","Kokurikulum Standard Sekolah Rendah",G164 = "KSSM","Kokurikulum Standard Sekolah Menengah",G164 = "KBDKBT","Kokurikulum Bersepadu Dini dan Kokurikulum Bersepadu Tahfiz",G164 = "SSeM","Sekolah Seni Malaysia",G164 = "KC","Kesusasteraan Cina",G164 = "KSSMPK","Pendidikan Khas",G164 = "MPEI","Mata Pelajaran Elektif Ikhtisas",G164 = "MPET","Mata Pelajaran Elektif Teknikal",G164 = "MPV","Mata Pelajaran Vokasional",G164 = "MPAK","Mata Pelajaran Aliran Kebangsaan")</f>
        <v>Mata Pelajaran Vokasional</v>
      </c>
      <c r="I164" t="str" cm="1">
        <f t="array" ref="I164">_xlfn.IFS(A164="SR","Sekolah Rendah",A164="SM","Sekolah Menengah")</f>
        <v>Sekolah Menengah</v>
      </c>
      <c r="J164" s="1" t="str" cm="1">
        <f t="array" ref="J164">_xlfn.SWITCH(B164,"T1","Tahun 1","T2","Tahun 2","T3","Tahun 3","T4","Tahun 4","T5","Tahun 5","T6","Tahun 6","TB1","Tingkatan 1","TB2","Tingkatan 2","TB3","Tingkatan 3","TA4","Tingkatan 4","TA5","Tingkatan 5")</f>
        <v>Tingkatan 4</v>
      </c>
      <c r="K164" t="b">
        <f>IF(COUNTIF(E164,"*DLP*"),TRUE)</f>
        <v>0</v>
      </c>
      <c r="L164" t="s">
        <v>130</v>
      </c>
    </row>
    <row r="165" spans="1:12" x14ac:dyDescent="0.3">
      <c r="A165" t="s">
        <v>8</v>
      </c>
      <c r="B165" t="str">
        <f>"TA4"</f>
        <v>TA4</v>
      </c>
      <c r="C165">
        <f>C164+1</f>
        <v>76</v>
      </c>
      <c r="D165" s="2" t="str" cm="1">
        <f t="array" ref="D165">A165&amp;B165&amp;_xlfn.IFS(C165 &lt; 10,"B00"&amp;C165,AND(C165 &gt;= 10,C165 &lt; 100),"B0"&amp;C165,C165 &gt;= 100,"B"&amp;C165)</f>
        <v>SMTA4B076</v>
      </c>
      <c r="E165" t="s">
        <v>91</v>
      </c>
      <c r="F165" s="2" t="str">
        <f>SUBSTITUTE(E165,"DLP"," ")</f>
        <v>Produksi Multimedia</v>
      </c>
      <c r="G165" t="s">
        <v>108</v>
      </c>
      <c r="H165" s="2" t="str" cm="1">
        <f t="array" ref="H165">_xlfn.IFS(G165 = "KSSR","Kokurikulum Standard Sekolah Rendah",G165 = "KSSM","Kokurikulum Standard Sekolah Menengah",G165 = "KBDKBT","Kokurikulum Bersepadu Dini dan Kokurikulum Bersepadu Tahfiz",G165 = "SSeM","Sekolah Seni Malaysia",G165 = "KC","Kesusasteraan Cina",G165 = "KSSMPK","Pendidikan Khas",G165 = "MPEI","Mata Pelajaran Elektif Ikhtisas",G165 = "MPET","Mata Pelajaran Elektif Teknikal",G165 = "MPV","Mata Pelajaran Vokasional",G165 = "MPAK","Mata Pelajaran Aliran Kebangsaan")</f>
        <v>Mata Pelajaran Vokasional</v>
      </c>
      <c r="I165" t="str" cm="1">
        <f t="array" ref="I165">_xlfn.IFS(A165="SR","Sekolah Rendah",A165="SM","Sekolah Menengah")</f>
        <v>Sekolah Menengah</v>
      </c>
      <c r="J165" s="1" t="str" cm="1">
        <f t="array" ref="J165">_xlfn.SWITCH(B165,"T1","Tahun 1","T2","Tahun 2","T3","Tahun 3","T4","Tahun 4","T5","Tahun 5","T6","Tahun 6","TB1","Tingkatan 1","TB2","Tingkatan 2","TB3","Tingkatan 3","TA4","Tingkatan 4","TA5","Tingkatan 5")</f>
        <v>Tingkatan 4</v>
      </c>
      <c r="K165" t="b">
        <f>IF(COUNTIF(E165,"*DLP*"),TRUE)</f>
        <v>0</v>
      </c>
      <c r="L165" t="s">
        <v>130</v>
      </c>
    </row>
    <row r="166" spans="1:12" x14ac:dyDescent="0.3">
      <c r="A166" t="s">
        <v>8</v>
      </c>
      <c r="B166" t="str">
        <f>"TA4"</f>
        <v>TA4</v>
      </c>
      <c r="C166">
        <f>C165+1</f>
        <v>77</v>
      </c>
      <c r="D166" s="2" t="str" cm="1">
        <f t="array" ref="D166">A166&amp;B166&amp;_xlfn.IFS(C166 &lt; 10,"B00"&amp;C166,AND(C166 &gt;= 10,C166 &lt; 100),"B0"&amp;C166,C166 &gt;= 100,"B"&amp;C166)</f>
        <v>SMTA4B077</v>
      </c>
      <c r="E166" t="s">
        <v>92</v>
      </c>
      <c r="F166" s="2" t="str">
        <f>SUBSTITUTE(E166,"DLP"," ")</f>
        <v>Produksi Reka Tanda</v>
      </c>
      <c r="G166" t="s">
        <v>108</v>
      </c>
      <c r="H166" s="2" t="str" cm="1">
        <f t="array" ref="H166">_xlfn.IFS(G166 = "KSSR","Kokurikulum Standard Sekolah Rendah",G166 = "KSSM","Kokurikulum Standard Sekolah Menengah",G166 = "KBDKBT","Kokurikulum Bersepadu Dini dan Kokurikulum Bersepadu Tahfiz",G166 = "SSeM","Sekolah Seni Malaysia",G166 = "KC","Kesusasteraan Cina",G166 = "KSSMPK","Pendidikan Khas",G166 = "MPEI","Mata Pelajaran Elektif Ikhtisas",G166 = "MPET","Mata Pelajaran Elektif Teknikal",G166 = "MPV","Mata Pelajaran Vokasional",G166 = "MPAK","Mata Pelajaran Aliran Kebangsaan")</f>
        <v>Mata Pelajaran Vokasional</v>
      </c>
      <c r="I166" t="str" cm="1">
        <f t="array" ref="I166">_xlfn.IFS(A166="SR","Sekolah Rendah",A166="SM","Sekolah Menengah")</f>
        <v>Sekolah Menengah</v>
      </c>
      <c r="J166" s="1" t="str" cm="1">
        <f t="array" ref="J166">_xlfn.SWITCH(B166,"T1","Tahun 1","T2","Tahun 2","T3","Tahun 3","T4","Tahun 4","T5","Tahun 5","T6","Tahun 6","TB1","Tingkatan 1","TB2","Tingkatan 2","TB3","Tingkatan 3","TA4","Tingkatan 4","TA5","Tingkatan 5")</f>
        <v>Tingkatan 4</v>
      </c>
      <c r="K166" t="b">
        <f>IF(COUNTIF(E166,"*DLP*"),TRUE)</f>
        <v>0</v>
      </c>
      <c r="L166" t="s">
        <v>130</v>
      </c>
    </row>
    <row r="167" spans="1:12" x14ac:dyDescent="0.3">
      <c r="A167" t="s">
        <v>8</v>
      </c>
      <c r="B167" t="str">
        <f>"TA4"</f>
        <v>TA4</v>
      </c>
      <c r="C167">
        <f>C166+1</f>
        <v>78</v>
      </c>
      <c r="D167" s="2" t="str" cm="1">
        <f t="array" ref="D167">A167&amp;B167&amp;_xlfn.IFS(C167 &lt; 10,"B00"&amp;C167,AND(C167 &gt;= 10,C167 &lt; 100),"B0"&amp;C167,C167 &gt;= 100,"B"&amp;C167)</f>
        <v>SMTA4B078</v>
      </c>
      <c r="E167" t="s">
        <v>93</v>
      </c>
      <c r="F167" s="2" t="str">
        <f>SUBSTITUTE(E167,"DLP"," ")</f>
        <v>Reka Bentik Grafik Digital</v>
      </c>
      <c r="G167" t="s">
        <v>108</v>
      </c>
      <c r="H167" s="2" t="str" cm="1">
        <f t="array" ref="H167">_xlfn.IFS(G167 = "KSSR","Kokurikulum Standard Sekolah Rendah",G167 = "KSSM","Kokurikulum Standard Sekolah Menengah",G167 = "KBDKBT","Kokurikulum Bersepadu Dini dan Kokurikulum Bersepadu Tahfiz",G167 = "SSeM","Sekolah Seni Malaysia",G167 = "KC","Kesusasteraan Cina",G167 = "KSSMPK","Pendidikan Khas",G167 = "MPEI","Mata Pelajaran Elektif Ikhtisas",G167 = "MPET","Mata Pelajaran Elektif Teknikal",G167 = "MPV","Mata Pelajaran Vokasional",G167 = "MPAK","Mata Pelajaran Aliran Kebangsaan")</f>
        <v>Mata Pelajaran Vokasional</v>
      </c>
      <c r="I167" t="str" cm="1">
        <f t="array" ref="I167">_xlfn.IFS(A167="SR","Sekolah Rendah",A167="SM","Sekolah Menengah")</f>
        <v>Sekolah Menengah</v>
      </c>
      <c r="J167" s="1" t="str" cm="1">
        <f t="array" ref="J167">_xlfn.SWITCH(B167,"T1","Tahun 1","T2","Tahun 2","T3","Tahun 3","T4","Tahun 4","T5","Tahun 5","T6","Tahun 6","TB1","Tingkatan 1","TB2","Tingkatan 2","TB3","Tingkatan 3","TA4","Tingkatan 4","TA5","Tingkatan 5")</f>
        <v>Tingkatan 4</v>
      </c>
      <c r="K167" t="b">
        <f>IF(COUNTIF(E167,"*DLP*"),TRUE)</f>
        <v>0</v>
      </c>
      <c r="L167" t="s">
        <v>130</v>
      </c>
    </row>
    <row r="168" spans="1:12" x14ac:dyDescent="0.3">
      <c r="A168" t="s">
        <v>8</v>
      </c>
      <c r="B168" t="str">
        <f>"TA4"</f>
        <v>TA4</v>
      </c>
      <c r="C168">
        <f>C167+1</f>
        <v>79</v>
      </c>
      <c r="D168" s="2" t="str" cm="1">
        <f t="array" ref="D168">A168&amp;B168&amp;_xlfn.IFS(C168 &lt; 10,"B00"&amp;C168,AND(C168 &gt;= 10,C168 &lt; 100),"B0"&amp;C168,C168 &gt;= 100,"B"&amp;C168)</f>
        <v>SMTA4B079</v>
      </c>
      <c r="E168" t="s">
        <v>106</v>
      </c>
      <c r="F168" s="2" t="str">
        <f>SUBSTITUTE(E168,"DLP"," ")</f>
        <v>Rekaan dan Jahitan</v>
      </c>
      <c r="G168" t="s">
        <v>108</v>
      </c>
      <c r="H168" s="2" t="str" cm="1">
        <f t="array" ref="H168">_xlfn.IFS(G168 = "KSSR","Kokurikulum Standard Sekolah Rendah",G168 = "KSSM","Kokurikulum Standard Sekolah Menengah",G168 = "KBDKBT","Kokurikulum Bersepadu Dini dan Kokurikulum Bersepadu Tahfiz",G168 = "SSeM","Sekolah Seni Malaysia",G168 = "KC","Kesusasteraan Cina",G168 = "KSSMPK","Pendidikan Khas",G168 = "MPEI","Mata Pelajaran Elektif Ikhtisas",G168 = "MPET","Mata Pelajaran Elektif Teknikal",G168 = "MPV","Mata Pelajaran Vokasional",G168 = "MPAK","Mata Pelajaran Aliran Kebangsaan")</f>
        <v>Mata Pelajaran Vokasional</v>
      </c>
      <c r="I168" t="str" cm="1">
        <f t="array" ref="I168">_xlfn.IFS(A168="SR","Sekolah Rendah",A168="SM","Sekolah Menengah")</f>
        <v>Sekolah Menengah</v>
      </c>
      <c r="J168" s="1" t="str" cm="1">
        <f t="array" ref="J168">_xlfn.SWITCH(B168,"T1","Tahun 1","T2","Tahun 2","T3","Tahun 3","T4","Tahun 4","T5","Tahun 5","T6","Tahun 6","TB1","Tingkatan 1","TB2","Tingkatan 2","TB3","Tingkatan 3","TA4","Tingkatan 4","TA5","Tingkatan 5")</f>
        <v>Tingkatan 4</v>
      </c>
      <c r="K168" t="b">
        <f>IF(COUNTIF(E168,"*DLP*"),TRUE)</f>
        <v>0</v>
      </c>
      <c r="L168" t="s">
        <v>130</v>
      </c>
    </row>
    <row r="169" spans="1:12" x14ac:dyDescent="0.3">
      <c r="A169" t="s">
        <v>8</v>
      </c>
      <c r="B169" t="str">
        <f>"TA4"</f>
        <v>TA4</v>
      </c>
      <c r="C169">
        <f>C168+1</f>
        <v>80</v>
      </c>
      <c r="D169" s="2" t="str" cm="1">
        <f t="array" ref="D169">A169&amp;B169&amp;_xlfn.IFS(C169 &lt; 10,"B00"&amp;C169,AND(C169 &gt;= 10,C169 &lt; 100),"B0"&amp;C169,C169 &gt;= 100,"B"&amp;C169)</f>
        <v>SMTA4B080</v>
      </c>
      <c r="E169" t="s">
        <v>107</v>
      </c>
      <c r="F169" s="2" t="str">
        <f>SUBSTITUTE(E169,"DLP"," ")</f>
        <v>Tanaman Makanan</v>
      </c>
      <c r="G169" t="s">
        <v>108</v>
      </c>
      <c r="H169" s="2" t="str" cm="1">
        <f t="array" ref="H169">_xlfn.IFS(G169 = "KSSR","Kokurikulum Standard Sekolah Rendah",G169 = "KSSM","Kokurikulum Standard Sekolah Menengah",G169 = "KBDKBT","Kokurikulum Bersepadu Dini dan Kokurikulum Bersepadu Tahfiz",G169 = "SSeM","Sekolah Seni Malaysia",G169 = "KC","Kesusasteraan Cina",G169 = "KSSMPK","Pendidikan Khas",G169 = "MPEI","Mata Pelajaran Elektif Ikhtisas",G169 = "MPET","Mata Pelajaran Elektif Teknikal",G169 = "MPV","Mata Pelajaran Vokasional",G169 = "MPAK","Mata Pelajaran Aliran Kebangsaan")</f>
        <v>Mata Pelajaran Vokasional</v>
      </c>
      <c r="I169" t="str" cm="1">
        <f t="array" ref="I169">_xlfn.IFS(A169="SR","Sekolah Rendah",A169="SM","Sekolah Menengah")</f>
        <v>Sekolah Menengah</v>
      </c>
      <c r="J169" s="1" t="str" cm="1">
        <f t="array" ref="J169">_xlfn.SWITCH(B169,"T1","Tahun 1","T2","Tahun 2","T3","Tahun 3","T4","Tahun 4","T5","Tahun 5","T6","Tahun 6","TB1","Tingkatan 1","TB2","Tingkatan 2","TB3","Tingkatan 3","TA4","Tingkatan 4","TA5","Tingkatan 5")</f>
        <v>Tingkatan 4</v>
      </c>
      <c r="K169" t="b">
        <f>IF(COUNTIF(E169,"*DLP*"),TRUE)</f>
        <v>0</v>
      </c>
      <c r="L169" t="s">
        <v>130</v>
      </c>
    </row>
    <row r="170" spans="1:12" x14ac:dyDescent="0.3">
      <c r="A170" t="s">
        <v>8</v>
      </c>
      <c r="B170" t="str">
        <f>"TA4"</f>
        <v>TA4</v>
      </c>
      <c r="C170">
        <f>C169+1</f>
        <v>81</v>
      </c>
      <c r="D170" s="2" t="str" cm="1">
        <f t="array" ref="D170">A170&amp;B170&amp;_xlfn.IFS(C170 &lt; 10,"B00"&amp;C170,AND(C170 &gt;= 10,C170 &lt; 100),"B0"&amp;C170,C170 &gt;= 100,"B"&amp;C170)</f>
        <v>SMTA4B081</v>
      </c>
      <c r="E170" t="s">
        <v>110</v>
      </c>
      <c r="F170" s="2" t="str">
        <f>SUBSTITUTE(E170,"DLP"," ")</f>
        <v>Pengkhususan Rekabentuk Industri dan Kraf</v>
      </c>
      <c r="G170" t="s">
        <v>46</v>
      </c>
      <c r="H170" s="2" t="str" cm="1">
        <f t="array" ref="H170">_xlfn.IFS(G170 = "KSSR","Kokurikulum Standard Sekolah Rendah",G170 = "KSSM","Kokurikulum Standard Sekolah Menengah",G170 = "KBDKBT","Kokurikulum Bersepadu Dini dan Kokurikulum Bersepadu Tahfiz",G170 = "SSeM","Sekolah Seni Malaysia",G170 = "KC","Kesusasteraan Cina",G170 = "KSSMPK","Pendidikan Khas",G170 = "MPEI","Mata Pelajaran Elektif Ikhtisas",G170 = "MPET","Mata Pelajaran Elektif Teknikal",G170 = "MPV","Mata Pelajaran Vokasional",G170 = "MPAK","Mata Pelajaran Aliran Kebangsaan")</f>
        <v>Sekolah Seni Malaysia</v>
      </c>
      <c r="I170" t="str" cm="1">
        <f t="array" ref="I170">_xlfn.IFS(A170="SR","Sekolah Rendah",A170="SM","Sekolah Menengah")</f>
        <v>Sekolah Menengah</v>
      </c>
      <c r="J170" s="1" t="str" cm="1">
        <f t="array" ref="J170">_xlfn.SWITCH(B170,"T1","Tahun 1","T2","Tahun 2","T3","Tahun 3","T4","Tahun 4","T5","Tahun 5","T6","Tahun 6","TB1","Tingkatan 1","TB2","Tingkatan 2","TB3","Tingkatan 3","TA4","Tingkatan 4","TA5","Tingkatan 5")</f>
        <v>Tingkatan 4</v>
      </c>
      <c r="K170" t="b">
        <f>IF(COUNTIF(E170,"*DLP*"),TRUE)</f>
        <v>0</v>
      </c>
      <c r="L170" t="s">
        <v>130</v>
      </c>
    </row>
    <row r="171" spans="1:12" x14ac:dyDescent="0.3">
      <c r="A171" t="s">
        <v>8</v>
      </c>
      <c r="B171" t="str">
        <f>"TA4"</f>
        <v>TA4</v>
      </c>
      <c r="C171">
        <f>C170+1</f>
        <v>82</v>
      </c>
      <c r="D171" s="2" t="str" cm="1">
        <f t="array" ref="D171">A171&amp;B171&amp;_xlfn.IFS(C171 &lt; 10,"B00"&amp;C171,AND(C171 &gt;= 10,C171 &lt; 100),"B0"&amp;C171,C171 &gt;= 100,"B"&amp;C171)</f>
        <v>SMTA4B082</v>
      </c>
      <c r="E171" t="s">
        <v>111</v>
      </c>
      <c r="F171" s="2" t="str">
        <f>SUBSTITUTE(E171,"DLP"," ")</f>
        <v>Pengkhususan Seni Halus</v>
      </c>
      <c r="G171" t="s">
        <v>46</v>
      </c>
      <c r="H171" s="2" t="str" cm="1">
        <f t="array" ref="H171">_xlfn.IFS(G171 = "KSSR","Kokurikulum Standard Sekolah Rendah",G171 = "KSSM","Kokurikulum Standard Sekolah Menengah",G171 = "KBDKBT","Kokurikulum Bersepadu Dini dan Kokurikulum Bersepadu Tahfiz",G171 = "SSeM","Sekolah Seni Malaysia",G171 = "KC","Kesusasteraan Cina",G171 = "KSSMPK","Pendidikan Khas",G171 = "MPEI","Mata Pelajaran Elektif Ikhtisas",G171 = "MPET","Mata Pelajaran Elektif Teknikal",G171 = "MPV","Mata Pelajaran Vokasional",G171 = "MPAK","Mata Pelajaran Aliran Kebangsaan")</f>
        <v>Sekolah Seni Malaysia</v>
      </c>
      <c r="I171" t="str" cm="1">
        <f t="array" ref="I171">_xlfn.IFS(A171="SR","Sekolah Rendah",A171="SM","Sekolah Menengah")</f>
        <v>Sekolah Menengah</v>
      </c>
      <c r="J171" s="1" t="str" cm="1">
        <f t="array" ref="J171">_xlfn.SWITCH(B171,"T1","Tahun 1","T2","Tahun 2","T3","Tahun 3","T4","Tahun 4","T5","Tahun 5","T6","Tahun 6","TB1","Tingkatan 1","TB2","Tingkatan 2","TB3","Tingkatan 3","TA4","Tingkatan 4","TA5","Tingkatan 5")</f>
        <v>Tingkatan 4</v>
      </c>
      <c r="K171" t="b">
        <f>IF(COUNTIF(E171,"*DLP*"),TRUE)</f>
        <v>0</v>
      </c>
      <c r="L171" t="s">
        <v>130</v>
      </c>
    </row>
    <row r="172" spans="1:12" x14ac:dyDescent="0.3">
      <c r="A172" t="s">
        <v>8</v>
      </c>
      <c r="B172" t="str">
        <f>"TA4"</f>
        <v>TA4</v>
      </c>
      <c r="C172">
        <f>C171+1</f>
        <v>83</v>
      </c>
      <c r="D172" s="2" t="str" cm="1">
        <f t="array" ref="D172">A172&amp;B172&amp;_xlfn.IFS(C172 &lt; 10,"B00"&amp;C172,AND(C172 &gt;= 10,C172 &lt; 100),"B0"&amp;C172,C172 &gt;= 100,"B"&amp;C172)</f>
        <v>SMTA4B083</v>
      </c>
      <c r="E172" t="s">
        <v>112</v>
      </c>
      <c r="F172" s="2" t="str">
        <f>SUBSTITUTE(E172,"DLP"," ")</f>
        <v>Pengkhususan Seni Muzik</v>
      </c>
      <c r="G172" t="s">
        <v>46</v>
      </c>
      <c r="H172" s="2" t="str" cm="1">
        <f t="array" ref="H172">_xlfn.IFS(G172 = "KSSR","Kokurikulum Standard Sekolah Rendah",G172 = "KSSM","Kokurikulum Standard Sekolah Menengah",G172 = "KBDKBT","Kokurikulum Bersepadu Dini dan Kokurikulum Bersepadu Tahfiz",G172 = "SSeM","Sekolah Seni Malaysia",G172 = "KC","Kesusasteraan Cina",G172 = "KSSMPK","Pendidikan Khas",G172 = "MPEI","Mata Pelajaran Elektif Ikhtisas",G172 = "MPET","Mata Pelajaran Elektif Teknikal",G172 = "MPV","Mata Pelajaran Vokasional",G172 = "MPAK","Mata Pelajaran Aliran Kebangsaan")</f>
        <v>Sekolah Seni Malaysia</v>
      </c>
      <c r="I172" t="str" cm="1">
        <f t="array" ref="I172">_xlfn.IFS(A172="SR","Sekolah Rendah",A172="SM","Sekolah Menengah")</f>
        <v>Sekolah Menengah</v>
      </c>
      <c r="J172" s="1" t="str" cm="1">
        <f t="array" ref="J172">_xlfn.SWITCH(B172,"T1","Tahun 1","T2","Tahun 2","T3","Tahun 3","T4","Tahun 4","T5","Tahun 5","T6","Tahun 6","TB1","Tingkatan 1","TB2","Tingkatan 2","TB3","Tingkatan 3","TA4","Tingkatan 4","TA5","Tingkatan 5")</f>
        <v>Tingkatan 4</v>
      </c>
      <c r="K172" t="b">
        <f>IF(COUNTIF(E172,"*DLP*"),TRUE)</f>
        <v>0</v>
      </c>
      <c r="L172" t="s">
        <v>130</v>
      </c>
    </row>
    <row r="173" spans="1:12" x14ac:dyDescent="0.3">
      <c r="A173" t="s">
        <v>8</v>
      </c>
      <c r="B173" t="str">
        <f>"TA4"</f>
        <v>TA4</v>
      </c>
      <c r="C173">
        <f>C172+1</f>
        <v>84</v>
      </c>
      <c r="D173" s="2" t="str" cm="1">
        <f t="array" ref="D173">A173&amp;B173&amp;_xlfn.IFS(C173 &lt; 10,"B00"&amp;C173,AND(C173 &gt;= 10,C173 &lt; 100),"B0"&amp;C173,C173 &gt;= 100,"B"&amp;C173)</f>
        <v>SMTA4B084</v>
      </c>
      <c r="E173" t="s">
        <v>109</v>
      </c>
      <c r="F173" s="2" t="str">
        <f>SUBSTITUTE(E173,"DLP"," ")</f>
        <v>Pengkhususan Seni Tari</v>
      </c>
      <c r="G173" t="s">
        <v>46</v>
      </c>
      <c r="H173" s="2" t="str" cm="1">
        <f t="array" ref="H173">_xlfn.IFS(G173 = "KSSR","Kokurikulum Standard Sekolah Rendah",G173 = "KSSM","Kokurikulum Standard Sekolah Menengah",G173 = "KBDKBT","Kokurikulum Bersepadu Dini dan Kokurikulum Bersepadu Tahfiz",G173 = "SSeM","Sekolah Seni Malaysia",G173 = "KC","Kesusasteraan Cina",G173 = "KSSMPK","Pendidikan Khas",G173 = "MPEI","Mata Pelajaran Elektif Ikhtisas",G173 = "MPET","Mata Pelajaran Elektif Teknikal",G173 = "MPV","Mata Pelajaran Vokasional",G173 = "MPAK","Mata Pelajaran Aliran Kebangsaan")</f>
        <v>Sekolah Seni Malaysia</v>
      </c>
      <c r="I173" t="str" cm="1">
        <f t="array" ref="I173">_xlfn.IFS(A173="SR","Sekolah Rendah",A173="SM","Sekolah Menengah")</f>
        <v>Sekolah Menengah</v>
      </c>
      <c r="J173" s="1" t="str" cm="1">
        <f t="array" ref="J173">_xlfn.SWITCH(B173,"T1","Tahun 1","T2","Tahun 2","T3","Tahun 3","T4","Tahun 4","T5","Tahun 5","T6","Tahun 6","TB1","Tingkatan 1","TB2","Tingkatan 2","TB3","Tingkatan 3","TA4","Tingkatan 4","TA5","Tingkatan 5")</f>
        <v>Tingkatan 4</v>
      </c>
      <c r="K173" t="b">
        <f>IF(COUNTIF(E173,"*DLP*"),TRUE)</f>
        <v>0</v>
      </c>
      <c r="L173" t="s">
        <v>130</v>
      </c>
    </row>
    <row r="174" spans="1:12" x14ac:dyDescent="0.3">
      <c r="A174" t="s">
        <v>8</v>
      </c>
      <c r="B174" t="str">
        <f>"TA4"</f>
        <v>TA4</v>
      </c>
      <c r="C174">
        <f>C173+1</f>
        <v>85</v>
      </c>
      <c r="D174" s="2" t="str" cm="1">
        <f t="array" ref="D174">A174&amp;B174&amp;_xlfn.IFS(C174 &lt; 10,"B00"&amp;C174,AND(C174 &gt;= 10,C174 &lt; 100),"B0"&amp;C174,C174 &gt;= 100,"B"&amp;C174)</f>
        <v>SMTA4B085</v>
      </c>
      <c r="E174" t="s">
        <v>113</v>
      </c>
      <c r="F174" s="2" t="str">
        <f>SUBSTITUTE(E174,"DLP"," ")</f>
        <v>Produksi Seni Persembahan</v>
      </c>
      <c r="G174" t="s">
        <v>46</v>
      </c>
      <c r="H174" s="2" t="str" cm="1">
        <f t="array" ref="H174">_xlfn.IFS(G174 = "KSSR","Kokurikulum Standard Sekolah Rendah",G174 = "KSSM","Kokurikulum Standard Sekolah Menengah",G174 = "KBDKBT","Kokurikulum Bersepadu Dini dan Kokurikulum Bersepadu Tahfiz",G174 = "SSeM","Sekolah Seni Malaysia",G174 = "KC","Kesusasteraan Cina",G174 = "KSSMPK","Pendidikan Khas",G174 = "MPEI","Mata Pelajaran Elektif Ikhtisas",G174 = "MPET","Mata Pelajaran Elektif Teknikal",G174 = "MPV","Mata Pelajaran Vokasional",G174 = "MPAK","Mata Pelajaran Aliran Kebangsaan")</f>
        <v>Sekolah Seni Malaysia</v>
      </c>
      <c r="I174" t="str" cm="1">
        <f t="array" ref="I174">_xlfn.IFS(A174="SR","Sekolah Rendah",A174="SM","Sekolah Menengah")</f>
        <v>Sekolah Menengah</v>
      </c>
      <c r="J174" s="1" t="str" cm="1">
        <f t="array" ref="J174">_xlfn.SWITCH(B174,"T1","Tahun 1","T2","Tahun 2","T3","Tahun 3","T4","Tahun 4","T5","Tahun 5","T6","Tahun 6","TB1","Tingkatan 1","TB2","Tingkatan 2","TB3","Tingkatan 3","TA4","Tingkatan 4","TA5","Tingkatan 5")</f>
        <v>Tingkatan 4</v>
      </c>
      <c r="K174" t="b">
        <f>IF(COUNTIF(E174,"*DLP*"),TRUE)</f>
        <v>0</v>
      </c>
      <c r="L174" t="s">
        <v>130</v>
      </c>
    </row>
    <row r="175" spans="1:12" x14ac:dyDescent="0.3">
      <c r="A175" t="s">
        <v>8</v>
      </c>
      <c r="B175" t="str">
        <f>"TA4"</f>
        <v>TA4</v>
      </c>
      <c r="C175">
        <f>C174+1</f>
        <v>86</v>
      </c>
      <c r="D175" s="2" t="str" cm="1">
        <f t="array" ref="D175">A175&amp;B175&amp;_xlfn.IFS(C175 &lt; 10,"B00"&amp;C175,AND(C175 &gt;= 10,C175 &lt; 100),"B0"&amp;C175,C175 &gt;= 100,"B"&amp;C175)</f>
        <v>SMTA4B086</v>
      </c>
      <c r="E175" t="s">
        <v>114</v>
      </c>
      <c r="F175" s="2" t="str">
        <f>SUBSTITUTE(E175,"DLP"," ")</f>
        <v>Sejarah dan Pengurusan Seni</v>
      </c>
      <c r="G175" t="s">
        <v>46</v>
      </c>
      <c r="H175" s="2" t="str" cm="1">
        <f t="array" ref="H175">_xlfn.IFS(G175 = "KSSR","Kokurikulum Standard Sekolah Rendah",G175 = "KSSM","Kokurikulum Standard Sekolah Menengah",G175 = "KBDKBT","Kokurikulum Bersepadu Dini dan Kokurikulum Bersepadu Tahfiz",G175 = "SSeM","Sekolah Seni Malaysia",G175 = "KC","Kesusasteraan Cina",G175 = "KSSMPK","Pendidikan Khas",G175 = "MPEI","Mata Pelajaran Elektif Ikhtisas",G175 = "MPET","Mata Pelajaran Elektif Teknikal",G175 = "MPV","Mata Pelajaran Vokasional",G175 = "MPAK","Mata Pelajaran Aliran Kebangsaan")</f>
        <v>Sekolah Seni Malaysia</v>
      </c>
      <c r="I175" t="str" cm="1">
        <f t="array" ref="I175">_xlfn.IFS(A175="SR","Sekolah Rendah",A175="SM","Sekolah Menengah")</f>
        <v>Sekolah Menengah</v>
      </c>
      <c r="J175" s="1" t="str" cm="1">
        <f t="array" ref="J175">_xlfn.SWITCH(B175,"T1","Tahun 1","T2","Tahun 2","T3","Tahun 3","T4","Tahun 4","T5","Tahun 5","T6","Tahun 6","TB1","Tingkatan 1","TB2","Tingkatan 2","TB3","Tingkatan 3","TA4","Tingkatan 4","TA5","Tingkatan 5")</f>
        <v>Tingkatan 4</v>
      </c>
      <c r="K175" t="b">
        <f>IF(COUNTIF(E175,"*DLP*"),TRUE)</f>
        <v>0</v>
      </c>
      <c r="L175" t="s">
        <v>130</v>
      </c>
    </row>
    <row r="176" spans="1:12" x14ac:dyDescent="0.3">
      <c r="A176" t="s">
        <v>8</v>
      </c>
      <c r="B176" t="str">
        <f>"TA4"</f>
        <v>TA4</v>
      </c>
      <c r="C176">
        <f>C175+1</f>
        <v>87</v>
      </c>
      <c r="D176" s="2" t="str" cm="1">
        <f t="array" ref="D176">A176&amp;B176&amp;_xlfn.IFS(C176 &lt; 10,"B00"&amp;C176,AND(C176 &gt;= 10,C176 &lt; 100),"B0"&amp;C176,C176 &gt;= 100,"B"&amp;C176)</f>
        <v>SMTA4B087</v>
      </c>
      <c r="E176" t="s">
        <v>73</v>
      </c>
      <c r="F176" s="2" t="str">
        <f>SUBSTITUTE(E176,"DLP"," ")</f>
        <v>Mingjia Xiaoshuoxuan</v>
      </c>
      <c r="G176" t="s">
        <v>74</v>
      </c>
      <c r="H176" s="2" t="str" cm="1">
        <f t="array" ref="H176">_xlfn.IFS(G176 = "KSSR","Kokurikulum Standard Sekolah Rendah",G176 = "KSSM","Kokurikulum Standard Sekolah Menengah",G176 = "KBDKBT","Kokurikulum Bersepadu Dini dan Kokurikulum Bersepadu Tahfiz",G176 = "SSeM","Sekolah Seni Malaysia",G176 = "KC","Kesusasteraan Cina",G176 = "KSSMPK","Pendidikan Khas",G176 = "MPEI","Mata Pelajaran Elektif Ikhtisas",G176 = "MPET","Mata Pelajaran Elektif Teknikal",G176 = "MPV","Mata Pelajaran Vokasional",G176 = "MPAK","Mata Pelajaran Aliran Kebangsaan")</f>
        <v>Kesusasteraan Cina</v>
      </c>
      <c r="I176" t="str" cm="1">
        <f t="array" ref="I176">_xlfn.IFS(A176="SR","Sekolah Rendah",A176="SM","Sekolah Menengah")</f>
        <v>Sekolah Menengah</v>
      </c>
      <c r="J176" s="1" t="str" cm="1">
        <f t="array" ref="J176">_xlfn.SWITCH(B176,"T1","Tahun 1","T2","Tahun 2","T3","Tahun 3","T4","Tahun 4","T5","Tahun 5","T6","Tahun 6","TB1","Tingkatan 1","TB2","Tingkatan 2","TB3","Tingkatan 3","TA4","Tingkatan 4","TA5","Tingkatan 5")</f>
        <v>Tingkatan 4</v>
      </c>
      <c r="K176" t="b">
        <f>IF(COUNTIF(E176,"*DLP*"),TRUE)</f>
        <v>0</v>
      </c>
      <c r="L176" t="s">
        <v>130</v>
      </c>
    </row>
    <row r="177" spans="1:12" x14ac:dyDescent="0.3">
      <c r="A177" t="s">
        <v>8</v>
      </c>
      <c r="B177" t="str">
        <f>"TA4"</f>
        <v>TA4</v>
      </c>
      <c r="C177">
        <f>C176+1</f>
        <v>88</v>
      </c>
      <c r="D177" s="2" t="str" cm="1">
        <f t="array" ref="D177">A177&amp;B177&amp;_xlfn.IFS(C177 &lt; 10,"B00"&amp;C177,AND(C177 &gt;= 10,C177 &lt; 100),"B0"&amp;C177,C177 &gt;= 100,"B"&amp;C177)</f>
        <v>SMTA4B088</v>
      </c>
      <c r="E177" t="s">
        <v>75</v>
      </c>
      <c r="F177" s="2" t="str">
        <f>SUBSTITUTE(E177,"DLP"," ")</f>
        <v>Qiyuan</v>
      </c>
      <c r="G177" t="s">
        <v>74</v>
      </c>
      <c r="H177" s="2" t="str" cm="1">
        <f t="array" ref="H177">_xlfn.IFS(G177 = "KSSR","Kokurikulum Standard Sekolah Rendah",G177 = "KSSM","Kokurikulum Standard Sekolah Menengah",G177 = "KBDKBT","Kokurikulum Bersepadu Dini dan Kokurikulum Bersepadu Tahfiz",G177 = "SSeM","Sekolah Seni Malaysia",G177 = "KC","Kesusasteraan Cina",G177 = "KSSMPK","Pendidikan Khas",G177 = "MPEI","Mata Pelajaran Elektif Ikhtisas",G177 = "MPET","Mata Pelajaran Elektif Teknikal",G177 = "MPV","Mata Pelajaran Vokasional",G177 = "MPAK","Mata Pelajaran Aliran Kebangsaan")</f>
        <v>Kesusasteraan Cina</v>
      </c>
      <c r="I177" t="str" cm="1">
        <f t="array" ref="I177">_xlfn.IFS(A177="SR","Sekolah Rendah",A177="SM","Sekolah Menengah")</f>
        <v>Sekolah Menengah</v>
      </c>
      <c r="J177" s="1" t="str" cm="1">
        <f t="array" ref="J177">_xlfn.SWITCH(B177,"T1","Tahun 1","T2","Tahun 2","T3","Tahun 3","T4","Tahun 4","T5","Tahun 5","T6","Tahun 6","TB1","Tingkatan 1","TB2","Tingkatan 2","TB3","Tingkatan 3","TA4","Tingkatan 4","TA5","Tingkatan 5")</f>
        <v>Tingkatan 4</v>
      </c>
      <c r="K177" t="b">
        <f>IF(COUNTIF(E177,"*DLP*"),TRUE)</f>
        <v>0</v>
      </c>
      <c r="L177" t="s">
        <v>130</v>
      </c>
    </row>
    <row r="178" spans="1:12" x14ac:dyDescent="0.3">
      <c r="A178" t="s">
        <v>8</v>
      </c>
      <c r="B178" t="str">
        <f>"TA4"</f>
        <v>TA4</v>
      </c>
      <c r="C178">
        <f>C177+1</f>
        <v>89</v>
      </c>
      <c r="D178" s="2" t="str" cm="1">
        <f t="array" ref="D178">A178&amp;B178&amp;_xlfn.IFS(C178 &lt; 10,"B00"&amp;C178,AND(C178 &gt;= 10,C178 &lt; 100),"B0"&amp;C178,C178 &gt;= 100,"B"&amp;C178)</f>
        <v>SMTA4B089</v>
      </c>
      <c r="E178" t="s">
        <v>76</v>
      </c>
      <c r="F178" s="2" t="str">
        <f>SUBSTITUTE(E178,"DLP"," ")</f>
        <v>Wenxuan</v>
      </c>
      <c r="G178" t="s">
        <v>74</v>
      </c>
      <c r="H178" s="2" t="str" cm="1">
        <f t="array" ref="H178">_xlfn.IFS(G178 = "KSSR","Kokurikulum Standard Sekolah Rendah",G178 = "KSSM","Kokurikulum Standard Sekolah Menengah",G178 = "KBDKBT","Kokurikulum Bersepadu Dini dan Kokurikulum Bersepadu Tahfiz",G178 = "SSeM","Sekolah Seni Malaysia",G178 = "KC","Kesusasteraan Cina",G178 = "KSSMPK","Pendidikan Khas",G178 = "MPEI","Mata Pelajaran Elektif Ikhtisas",G178 = "MPET","Mata Pelajaran Elektif Teknikal",G178 = "MPV","Mata Pelajaran Vokasional",G178 = "MPAK","Mata Pelajaran Aliran Kebangsaan")</f>
        <v>Kesusasteraan Cina</v>
      </c>
      <c r="I178" t="str" cm="1">
        <f t="array" ref="I178">_xlfn.IFS(A178="SR","Sekolah Rendah",A178="SM","Sekolah Menengah")</f>
        <v>Sekolah Menengah</v>
      </c>
      <c r="J178" s="1" t="str" cm="1">
        <f t="array" ref="J178">_xlfn.SWITCH(B178,"T1","Tahun 1","T2","Tahun 2","T3","Tahun 3","T4","Tahun 4","T5","Tahun 5","T6","Tahun 6","TB1","Tingkatan 1","TB2","Tingkatan 2","TB3","Tingkatan 3","TA4","Tingkatan 4","TA5","Tingkatan 5")</f>
        <v>Tingkatan 4</v>
      </c>
      <c r="K178" t="b">
        <f>IF(COUNTIF(E178,"*DLP*"),TRUE)</f>
        <v>0</v>
      </c>
      <c r="L178" t="s">
        <v>130</v>
      </c>
    </row>
    <row r="179" spans="1:12" x14ac:dyDescent="0.3">
      <c r="A179" t="s">
        <v>8</v>
      </c>
      <c r="B179" t="str">
        <f>"TA4"</f>
        <v>TA4</v>
      </c>
      <c r="C179">
        <f>C178+1</f>
        <v>90</v>
      </c>
      <c r="D179" s="2" t="str" cm="1">
        <f t="array" ref="D179">A179&amp;B179&amp;_xlfn.IFS(C179 &lt; 10,"B00"&amp;C179,AND(C179 &gt;= 10,C179 &lt; 100),"B0"&amp;C179,C179 &gt;= 100,"B"&amp;C179)</f>
        <v>SMTA4B090</v>
      </c>
      <c r="E179" t="s">
        <v>78</v>
      </c>
      <c r="F179" s="2" t="str">
        <f>SUBSTITUTE(E179,"DLP"," ")</f>
        <v>Bahasa Melayu Komunikasi</v>
      </c>
      <c r="G179" t="s">
        <v>80</v>
      </c>
      <c r="H179" s="2" t="str" cm="1">
        <f t="array" ref="H179">_xlfn.IFS(G179 = "KSSR","Kokurikulum Standard Sekolah Rendah",G179 = "KSSM","Kokurikulum Standard Sekolah Menengah",G179 = "KBDKBT","Kokurikulum Bersepadu Dini dan Kokurikulum Bersepadu Tahfiz",G179 = "SSeM","Sekolah Seni Malaysia",G179 = "KC","Kesusasteraan Cina",G179 = "KSSMPK","Pendidikan Khas",G179 = "MPEI","Mata Pelajaran Elektif Ikhtisas",G179 = "MPET","Mata Pelajaran Elektif Teknikal",G179 = "MPV","Mata Pelajaran Vokasional",G179 = "MPAK","Mata Pelajaran Aliran Kebangsaan")</f>
        <v>Pendidikan Khas</v>
      </c>
      <c r="I179" t="str" cm="1">
        <f t="array" ref="I179">_xlfn.IFS(A179="SR","Sekolah Rendah",A179="SM","Sekolah Menengah")</f>
        <v>Sekolah Menengah</v>
      </c>
      <c r="J179" s="1" t="str" cm="1">
        <f t="array" ref="J179">_xlfn.SWITCH(B179,"T1","Tahun 1","T2","Tahun 2","T3","Tahun 3","T4","Tahun 4","T5","Tahun 5","T6","Tahun 6","TB1","Tingkatan 1","TB2","Tingkatan 2","TB3","Tingkatan 3","TA4","Tingkatan 4","TA5","Tingkatan 5")</f>
        <v>Tingkatan 4</v>
      </c>
      <c r="K179" t="b">
        <f>IF(COUNTIF(E179,"*DLP*"),TRUE)</f>
        <v>0</v>
      </c>
      <c r="L179" t="s">
        <v>130</v>
      </c>
    </row>
    <row r="180" spans="1:12" x14ac:dyDescent="0.3">
      <c r="A180" t="s">
        <v>8</v>
      </c>
      <c r="B180" t="str">
        <f>"TA4"</f>
        <v>TA4</v>
      </c>
      <c r="C180">
        <f>C179+1</f>
        <v>91</v>
      </c>
      <c r="D180" s="2" t="str" cm="1">
        <f t="array" ref="D180">A180&amp;B180&amp;_xlfn.IFS(C180 &lt; 10,"B00"&amp;C180,AND(C180 &gt;= 10,C180 &lt; 100),"B0"&amp;C180,C180 &gt;= 100,"B"&amp;C180)</f>
        <v>SMTA4B091</v>
      </c>
      <c r="E180" t="s">
        <v>79</v>
      </c>
      <c r="F180" s="2" t="str">
        <f>SUBSTITUTE(E180,"DLP"," ")</f>
        <v>English For Communication</v>
      </c>
      <c r="G180" t="s">
        <v>80</v>
      </c>
      <c r="H180" s="2" t="str" cm="1">
        <f t="array" ref="H180">_xlfn.IFS(G180 = "KSSR","Kokurikulum Standard Sekolah Rendah",G180 = "KSSM","Kokurikulum Standard Sekolah Menengah",G180 = "KBDKBT","Kokurikulum Bersepadu Dini dan Kokurikulum Bersepadu Tahfiz",G180 = "SSeM","Sekolah Seni Malaysia",G180 = "KC","Kesusasteraan Cina",G180 = "KSSMPK","Pendidikan Khas",G180 = "MPEI","Mata Pelajaran Elektif Ikhtisas",G180 = "MPET","Mata Pelajaran Elektif Teknikal",G180 = "MPV","Mata Pelajaran Vokasional",G180 = "MPAK","Mata Pelajaran Aliran Kebangsaan")</f>
        <v>Pendidikan Khas</v>
      </c>
      <c r="I180" t="str" cm="1">
        <f t="array" ref="I180">_xlfn.IFS(A180="SR","Sekolah Rendah",A180="SM","Sekolah Menengah")</f>
        <v>Sekolah Menengah</v>
      </c>
      <c r="J180" s="1" t="str" cm="1">
        <f t="array" ref="J180">_xlfn.SWITCH(B180,"T1","Tahun 1","T2","Tahun 2","T3","Tahun 3","T4","Tahun 4","T5","Tahun 5","T6","Tahun 6","TB1","Tingkatan 1","TB2","Tingkatan 2","TB3","Tingkatan 3","TA4","Tingkatan 4","TA5","Tingkatan 5")</f>
        <v>Tingkatan 4</v>
      </c>
      <c r="K180" t="b">
        <f>IF(COUNTIF(E180,"*DLP*"),TRUE)</f>
        <v>0</v>
      </c>
      <c r="L180" t="s">
        <v>130</v>
      </c>
    </row>
    <row r="181" spans="1:12" x14ac:dyDescent="0.3">
      <c r="A181" t="s">
        <v>8</v>
      </c>
      <c r="B181" t="str">
        <f>"TA4"</f>
        <v>TA4</v>
      </c>
      <c r="C181">
        <f>C180+1</f>
        <v>92</v>
      </c>
      <c r="D181" s="2" t="str" cm="1">
        <f t="array" ref="D181">A181&amp;B181&amp;_xlfn.IFS(C181 &lt; 10,"B00"&amp;C181,AND(C181 &gt;= 10,C181 &lt; 100),"B0"&amp;C181,C181 &gt;= 100,"B"&amp;C181)</f>
        <v>SMTA4B092</v>
      </c>
      <c r="E181" t="s">
        <v>11</v>
      </c>
      <c r="F181" s="2" t="str">
        <f>SUBSTITUTE(E181,"DLP"," ")</f>
        <v>Matematik</v>
      </c>
      <c r="G181" t="s">
        <v>80</v>
      </c>
      <c r="H181" s="2" t="str" cm="1">
        <f t="array" ref="H181">_xlfn.IFS(G181 = "KSSR","Kokurikulum Standard Sekolah Rendah",G181 = "KSSM","Kokurikulum Standard Sekolah Menengah",G181 = "KBDKBT","Kokurikulum Bersepadu Dini dan Kokurikulum Bersepadu Tahfiz",G181 = "SSeM","Sekolah Seni Malaysia",G181 = "KC","Kesusasteraan Cina",G181 = "KSSMPK","Pendidikan Khas",G181 = "MPEI","Mata Pelajaran Elektif Ikhtisas",G181 = "MPET","Mata Pelajaran Elektif Teknikal",G181 = "MPV","Mata Pelajaran Vokasional",G181 = "MPAK","Mata Pelajaran Aliran Kebangsaan")</f>
        <v>Pendidikan Khas</v>
      </c>
      <c r="I181" t="str" cm="1">
        <f t="array" ref="I181">_xlfn.IFS(A181="SR","Sekolah Rendah",A181="SM","Sekolah Menengah")</f>
        <v>Sekolah Menengah</v>
      </c>
      <c r="J181" s="1" t="str" cm="1">
        <f t="array" ref="J181">_xlfn.SWITCH(B181,"T1","Tahun 1","T2","Tahun 2","T3","Tahun 3","T4","Tahun 4","T5","Tahun 5","T6","Tahun 6","TB1","Tingkatan 1","TB2","Tingkatan 2","TB3","Tingkatan 3","TA4","Tingkatan 4","TA5","Tingkatan 5")</f>
        <v>Tingkatan 4</v>
      </c>
      <c r="K181" t="b">
        <f>IF(COUNTIF(E181,"*DLP*"),TRUE)</f>
        <v>0</v>
      </c>
      <c r="L181" t="s">
        <v>130</v>
      </c>
    </row>
    <row r="182" spans="1:12" x14ac:dyDescent="0.3">
      <c r="A182" t="s">
        <v>8</v>
      </c>
      <c r="B182" t="str">
        <f>"TA4"</f>
        <v>TA4</v>
      </c>
      <c r="C182">
        <f>C181+1</f>
        <v>93</v>
      </c>
      <c r="D182" s="2" t="str" cm="1">
        <f t="array" ref="D182">A182&amp;B182&amp;_xlfn.IFS(C182 &lt; 10,"B00"&amp;C182,AND(C182 &gt;= 10,C182 &lt; 100),"B0"&amp;C182,C182 &gt;= 100,"B"&amp;C182)</f>
        <v>SMTA4B093</v>
      </c>
      <c r="E182" t="s">
        <v>25</v>
      </c>
      <c r="F182" s="2" t="str">
        <f>SUBSTITUTE(E182,"DLP"," ")</f>
        <v>Pendidikan Islam</v>
      </c>
      <c r="G182" t="s">
        <v>80</v>
      </c>
      <c r="H182" s="2" t="str" cm="1">
        <f t="array" ref="H182">_xlfn.IFS(G182 = "KSSR","Kokurikulum Standard Sekolah Rendah",G182 = "KSSM","Kokurikulum Standard Sekolah Menengah",G182 = "KBDKBT","Kokurikulum Bersepadu Dini dan Kokurikulum Bersepadu Tahfiz",G182 = "SSeM","Sekolah Seni Malaysia",G182 = "KC","Kesusasteraan Cina",G182 = "KSSMPK","Pendidikan Khas",G182 = "MPEI","Mata Pelajaran Elektif Ikhtisas",G182 = "MPET","Mata Pelajaran Elektif Teknikal",G182 = "MPV","Mata Pelajaran Vokasional",G182 = "MPAK","Mata Pelajaran Aliran Kebangsaan")</f>
        <v>Pendidikan Khas</v>
      </c>
      <c r="I182" t="str" cm="1">
        <f t="array" ref="I182">_xlfn.IFS(A182="SR","Sekolah Rendah",A182="SM","Sekolah Menengah")</f>
        <v>Sekolah Menengah</v>
      </c>
      <c r="J182" s="1" t="str" cm="1">
        <f t="array" ref="J182">_xlfn.SWITCH(B182,"T1","Tahun 1","T2","Tahun 2","T3","Tahun 3","T4","Tahun 4","T5","Tahun 5","T6","Tahun 6","TB1","Tingkatan 1","TB2","Tingkatan 2","TB3","Tingkatan 3","TA4","Tingkatan 4","TA5","Tingkatan 5")</f>
        <v>Tingkatan 4</v>
      </c>
      <c r="K182" t="b">
        <f>IF(COUNTIF(E182,"*DLP*"),TRUE)</f>
        <v>0</v>
      </c>
      <c r="L182" t="s">
        <v>130</v>
      </c>
    </row>
    <row r="183" spans="1:12" x14ac:dyDescent="0.3">
      <c r="A183" t="s">
        <v>8</v>
      </c>
      <c r="B183" t="str">
        <f>"TA4"</f>
        <v>TA4</v>
      </c>
      <c r="C183">
        <f>C182+1</f>
        <v>94</v>
      </c>
      <c r="D183" s="2" t="str" cm="1">
        <f t="array" ref="D183">A183&amp;B183&amp;_xlfn.IFS(C183 &lt; 10,"B00"&amp;C183,AND(C183 &gt;= 10,C183 &lt; 100),"B0"&amp;C183,C183 &gt;= 100,"B"&amp;C183)</f>
        <v>SMTA4B094</v>
      </c>
      <c r="E183" t="s">
        <v>27</v>
      </c>
      <c r="F183" s="2" t="str">
        <f>SUBSTITUTE(E183,"DLP"," ")</f>
        <v>Pendidikan Moral</v>
      </c>
      <c r="G183" t="s">
        <v>80</v>
      </c>
      <c r="H183" s="2" t="str" cm="1">
        <f t="array" ref="H183">_xlfn.IFS(G183 = "KSSR","Kokurikulum Standard Sekolah Rendah",G183 = "KSSM","Kokurikulum Standard Sekolah Menengah",G183 = "KBDKBT","Kokurikulum Bersepadu Dini dan Kokurikulum Bersepadu Tahfiz",G183 = "SSeM","Sekolah Seni Malaysia",G183 = "KC","Kesusasteraan Cina",G183 = "KSSMPK","Pendidikan Khas",G183 = "MPEI","Mata Pelajaran Elektif Ikhtisas",G183 = "MPET","Mata Pelajaran Elektif Teknikal",G183 = "MPV","Mata Pelajaran Vokasional",G183 = "MPAK","Mata Pelajaran Aliran Kebangsaan")</f>
        <v>Pendidikan Khas</v>
      </c>
      <c r="I183" t="str" cm="1">
        <f t="array" ref="I183">_xlfn.IFS(A183="SR","Sekolah Rendah",A183="SM","Sekolah Menengah")</f>
        <v>Sekolah Menengah</v>
      </c>
      <c r="J183" s="1" t="str" cm="1">
        <f t="array" ref="J183">_xlfn.SWITCH(B183,"T1","Tahun 1","T2","Tahun 2","T3","Tahun 3","T4","Tahun 4","T5","Tahun 5","T6","Tahun 6","TB1","Tingkatan 1","TB2","Tingkatan 2","TB3","Tingkatan 3","TA4","Tingkatan 4","TA5","Tingkatan 5")</f>
        <v>Tingkatan 4</v>
      </c>
      <c r="K183" t="b">
        <f>IF(COUNTIF(E183,"*DLP*"),TRUE)</f>
        <v>0</v>
      </c>
      <c r="L183" t="s">
        <v>130</v>
      </c>
    </row>
    <row r="184" spans="1:12" x14ac:dyDescent="0.3">
      <c r="A184" t="s">
        <v>8</v>
      </c>
      <c r="B184" t="str">
        <f>"TA4"</f>
        <v>TA4</v>
      </c>
      <c r="C184">
        <f>C183+1</f>
        <v>95</v>
      </c>
      <c r="D184" s="2" t="str" cm="1">
        <f t="array" ref="D184">A184&amp;B184&amp;_xlfn.IFS(C184 &lt; 10,"B00"&amp;C184,AND(C184 &gt;= 10,C184 &lt; 100),"B0"&amp;C184,C184 &gt;= 100,"B"&amp;C184)</f>
        <v>SMTA4B095</v>
      </c>
      <c r="E184" t="s">
        <v>47</v>
      </c>
      <c r="F184" s="2" t="str">
        <f>SUBSTITUTE(E184,"DLP"," ")</f>
        <v>Pendidikan Muzik</v>
      </c>
      <c r="G184" t="s">
        <v>80</v>
      </c>
      <c r="H184" s="2" t="str" cm="1">
        <f t="array" ref="H184">_xlfn.IFS(G184 = "KSSR","Kokurikulum Standard Sekolah Rendah",G184 = "KSSM","Kokurikulum Standard Sekolah Menengah",G184 = "KBDKBT","Kokurikulum Bersepadu Dini dan Kokurikulum Bersepadu Tahfiz",G184 = "SSeM","Sekolah Seni Malaysia",G184 = "KC","Kesusasteraan Cina",G184 = "KSSMPK","Pendidikan Khas",G184 = "MPEI","Mata Pelajaran Elektif Ikhtisas",G184 = "MPET","Mata Pelajaran Elektif Teknikal",G184 = "MPV","Mata Pelajaran Vokasional",G184 = "MPAK","Mata Pelajaran Aliran Kebangsaan")</f>
        <v>Pendidikan Khas</v>
      </c>
      <c r="I184" t="str" cm="1">
        <f t="array" ref="I184">_xlfn.IFS(A184="SR","Sekolah Rendah",A184="SM","Sekolah Menengah")</f>
        <v>Sekolah Menengah</v>
      </c>
      <c r="J184" s="1" t="str" cm="1">
        <f t="array" ref="J184">_xlfn.SWITCH(B184,"T1","Tahun 1","T2","Tahun 2","T3","Tahun 3","T4","Tahun 4","T5","Tahun 5","T6","Tahun 6","TB1","Tingkatan 1","TB2","Tingkatan 2","TB3","Tingkatan 3","TA4","Tingkatan 4","TA5","Tingkatan 5")</f>
        <v>Tingkatan 4</v>
      </c>
      <c r="K184" t="b">
        <f>IF(COUNTIF(E184,"*DLP*"),TRUE)</f>
        <v>0</v>
      </c>
      <c r="L184" t="s">
        <v>130</v>
      </c>
    </row>
    <row r="185" spans="1:12" x14ac:dyDescent="0.3">
      <c r="A185" t="s">
        <v>8</v>
      </c>
      <c r="B185" t="str">
        <f>"TA4"</f>
        <v>TA4</v>
      </c>
      <c r="C185">
        <f>C184+1</f>
        <v>96</v>
      </c>
      <c r="D185" s="2" t="str" cm="1">
        <f t="array" ref="D185">A185&amp;B185&amp;_xlfn.IFS(C185 &lt; 10,"B00"&amp;C185,AND(C185 &gt;= 10,C185 &lt; 100),"B0"&amp;C185,C185 &gt;= 100,"B"&amp;C185)</f>
        <v>SMTA4B096</v>
      </c>
      <c r="E185" t="s">
        <v>122</v>
      </c>
      <c r="F185" s="2" t="str">
        <f>SUBSTITUTE(E185,"DLP"," ")</f>
        <v>Pendidikan Sains, Sosial dan Alam Sekitar</v>
      </c>
      <c r="G185" t="s">
        <v>80</v>
      </c>
      <c r="H185" s="2" t="str" cm="1">
        <f t="array" ref="H185">_xlfn.IFS(G185 = "KSSR","Kokurikulum Standard Sekolah Rendah",G185 = "KSSM","Kokurikulum Standard Sekolah Menengah",G185 = "KBDKBT","Kokurikulum Bersepadu Dini dan Kokurikulum Bersepadu Tahfiz",G185 = "SSeM","Sekolah Seni Malaysia",G185 = "KC","Kesusasteraan Cina",G185 = "KSSMPK","Pendidikan Khas",G185 = "MPEI","Mata Pelajaran Elektif Ikhtisas",G185 = "MPET","Mata Pelajaran Elektif Teknikal",G185 = "MPV","Mata Pelajaran Vokasional",G185 = "MPAK","Mata Pelajaran Aliran Kebangsaan")</f>
        <v>Pendidikan Khas</v>
      </c>
      <c r="I185" t="str" cm="1">
        <f t="array" ref="I185">_xlfn.IFS(A185="SR","Sekolah Rendah",A185="SM","Sekolah Menengah")</f>
        <v>Sekolah Menengah</v>
      </c>
      <c r="J185" s="1" t="str" cm="1">
        <f t="array" ref="J185">_xlfn.SWITCH(B185,"T1","Tahun 1","T2","Tahun 2","T3","Tahun 3","T4","Tahun 4","T5","Tahun 5","T6","Tahun 6","TB1","Tingkatan 1","TB2","Tingkatan 2","TB3","Tingkatan 3","TA4","Tingkatan 4","TA5","Tingkatan 5")</f>
        <v>Tingkatan 4</v>
      </c>
      <c r="K185" t="b">
        <f>IF(COUNTIF(E185,"*DLP*"),TRUE)</f>
        <v>0</v>
      </c>
      <c r="L185" t="s">
        <v>130</v>
      </c>
    </row>
    <row r="186" spans="1:12" x14ac:dyDescent="0.3">
      <c r="A186" t="s">
        <v>8</v>
      </c>
      <c r="B186" t="str">
        <f>"TA4"</f>
        <v>TA4</v>
      </c>
      <c r="C186">
        <f>C185+1</f>
        <v>97</v>
      </c>
      <c r="D186" s="2" t="str" cm="1">
        <f t="array" ref="D186">A186&amp;B186&amp;_xlfn.IFS(C186 &lt; 10,"B00"&amp;C186,AND(C186 &gt;= 10,C186 &lt; 100),"B0"&amp;C186,C186 &gt;= 100,"B"&amp;C186)</f>
        <v>SMTA4B097</v>
      </c>
      <c r="E186" t="s">
        <v>24</v>
      </c>
      <c r="F186" s="2" t="str">
        <f>SUBSTITUTE(E186,"DLP"," ")</f>
        <v>Pendidikan Seni Visual</v>
      </c>
      <c r="G186" t="s">
        <v>80</v>
      </c>
      <c r="H186" s="2" t="str" cm="1">
        <f t="array" ref="H186">_xlfn.IFS(G186 = "KSSR","Kokurikulum Standard Sekolah Rendah",G186 = "KSSM","Kokurikulum Standard Sekolah Menengah",G186 = "KBDKBT","Kokurikulum Bersepadu Dini dan Kokurikulum Bersepadu Tahfiz",G186 = "SSeM","Sekolah Seni Malaysia",G186 = "KC","Kesusasteraan Cina",G186 = "KSSMPK","Pendidikan Khas",G186 = "MPEI","Mata Pelajaran Elektif Ikhtisas",G186 = "MPET","Mata Pelajaran Elektif Teknikal",G186 = "MPV","Mata Pelajaran Vokasional",G186 = "MPAK","Mata Pelajaran Aliran Kebangsaan")</f>
        <v>Pendidikan Khas</v>
      </c>
      <c r="I186" t="str" cm="1">
        <f t="array" ref="I186">_xlfn.IFS(A186="SR","Sekolah Rendah",A186="SM","Sekolah Menengah")</f>
        <v>Sekolah Menengah</v>
      </c>
      <c r="J186" s="1" t="str" cm="1">
        <f t="array" ref="J186">_xlfn.SWITCH(B186,"T1","Tahun 1","T2","Tahun 2","T3","Tahun 3","T4","Tahun 4","T5","Tahun 5","T6","Tahun 6","TB1","Tingkatan 1","TB2","Tingkatan 2","TB3","Tingkatan 3","TA4","Tingkatan 4","TA5","Tingkatan 5")</f>
        <v>Tingkatan 4</v>
      </c>
      <c r="K186" t="b">
        <f>IF(COUNTIF(E186,"*DLP*"),TRUE)</f>
        <v>0</v>
      </c>
      <c r="L186" t="s">
        <v>130</v>
      </c>
    </row>
    <row r="187" spans="1:12" x14ac:dyDescent="0.3">
      <c r="A187" s="3" t="s">
        <v>8</v>
      </c>
      <c r="B187" s="4" t="str">
        <f>"TA5"</f>
        <v>TA5</v>
      </c>
      <c r="C187" s="4">
        <v>1</v>
      </c>
      <c r="D187" s="5" t="str" cm="1">
        <f t="array" ref="D187">A187&amp;B187&amp;_xlfn.IFS(C187 &lt; 10,"B00"&amp;C187,AND(C187 &gt;= 10,C187 &lt; 100),"B0"&amp;C187,C187 &gt;= 100,"B"&amp;C187)</f>
        <v>SMTA5B001</v>
      </c>
      <c r="E187" s="4" t="s">
        <v>56</v>
      </c>
      <c r="F187" s="5" t="str">
        <f>SUBSTITUTE(E187,"DLP"," ")</f>
        <v xml:space="preserve">Additional Mathematics  </v>
      </c>
      <c r="G187" s="4" t="s">
        <v>36</v>
      </c>
      <c r="H187" s="6" t="str" cm="1">
        <f t="array" ref="H187">_xlfn.IFS(G187 = "KSSR","Kokurikulum Standard Sekolah Rendah",G187 = "KSSM","Kokurikulum Standard Sekolah Menengah",G187 = "KBDKBT","Kokurikulum Bersepadu Dini dan Kokurikulum Bersepadu Tahfiz",G187 = "SSeM","Sekolah Seni Malaysia",G187 = "KC","Kesusasteraan Cina",G187 = "KSSMPK","Pendidikan Khas",G187 = "MPEI","Mata Pelajaran Elektif Ikhtisas",G187 = "MPET","Mata Pelajaran Elektif Teknikal",G187 = "MPV","Mata Pelajaran Vokasional",G187 = "MPAK","Mata Pelajaran Aliran Kebangsaan")</f>
        <v>Kokurikulum Standard Sekolah Menengah</v>
      </c>
      <c r="I187" s="4" t="str" cm="1">
        <f t="array" ref="I187">_xlfn.IFS(A187="SR","Sekolah Rendah",A187="SM","Sekolah Menengah")</f>
        <v>Sekolah Menengah</v>
      </c>
      <c r="J187" s="4" t="str" cm="1">
        <f t="array" ref="J187">_xlfn.SWITCH(B187,"T1","Tahun 1","T2","Tahun 2","T3","Tahun 3","T4","Tahun 4","T5","Tahun 5","T6","Tahun 6","TB1","Tingkatan 1","TB2","Tingkatan 2","TB3","Tingkatan 3","TA4","Tingkatan 4","TA5","Tingkatan 5")</f>
        <v>Tingkatan 5</v>
      </c>
      <c r="K187" s="4" t="b">
        <f>IF(COUNTIF(E187,"*DLP*"),TRUE)</f>
        <v>1</v>
      </c>
      <c r="L187" s="7" t="s">
        <v>130</v>
      </c>
    </row>
    <row r="188" spans="1:12" x14ac:dyDescent="0.3">
      <c r="A188" s="8" t="s">
        <v>8</v>
      </c>
      <c r="B188" s="9" t="str">
        <f>"TA5"</f>
        <v>TA5</v>
      </c>
      <c r="C188" s="9">
        <f>C187+1</f>
        <v>2</v>
      </c>
      <c r="D188" s="6" t="str" cm="1">
        <f t="array" ref="D188">A188&amp;B188&amp;_xlfn.IFS(C188 &lt; 10,"B00"&amp;C188,AND(C188 &gt;= 10,C188 &lt; 100),"B0"&amp;C188,C188 &gt;= 100,"B"&amp;C188)</f>
        <v>SMTA5B002</v>
      </c>
      <c r="E188" s="9" t="s">
        <v>71</v>
      </c>
      <c r="F188" s="6" t="str">
        <f>SUBSTITUTE(E188,"DLP"," ")</f>
        <v xml:space="preserve">Additional Science  </v>
      </c>
      <c r="G188" s="9" t="s">
        <v>36</v>
      </c>
      <c r="H188" s="6" t="str" cm="1">
        <f t="array" ref="H188">_xlfn.IFS(G188 = "KSSR","Kokurikulum Standard Sekolah Rendah",G188 = "KSSM","Kokurikulum Standard Sekolah Menengah",G188 = "KBDKBT","Kokurikulum Bersepadu Dini dan Kokurikulum Bersepadu Tahfiz",G188 = "SSeM","Sekolah Seni Malaysia",G188 = "KC","Kesusasteraan Cina",G188 = "KSSMPK","Pendidikan Khas",G188 = "MPEI","Mata Pelajaran Elektif Ikhtisas",G188 = "MPET","Mata Pelajaran Elektif Teknikal",G188 = "MPV","Mata Pelajaran Vokasional",G188 = "MPAK","Mata Pelajaran Aliran Kebangsaan")</f>
        <v>Kokurikulum Standard Sekolah Menengah</v>
      </c>
      <c r="I188" s="9" t="str" cm="1">
        <f t="array" ref="I188">_xlfn.IFS(A188="SR","Sekolah Rendah",A188="SM","Sekolah Menengah")</f>
        <v>Sekolah Menengah</v>
      </c>
      <c r="J188" s="9" t="str" cm="1">
        <f t="array" ref="J188">_xlfn.SWITCH(B188,"T1","Tahun 1","T2","Tahun 2","T3","Tahun 3","T4","Tahun 4","T5","Tahun 5","T6","Tahun 6","TB1","Tingkatan 1","TB2","Tingkatan 2","TB3","Tingkatan 3","TA4","Tingkatan 4","TA5","Tingkatan 5")</f>
        <v>Tingkatan 5</v>
      </c>
      <c r="K188" s="9" t="b">
        <f>IF(COUNTIF(E188,"*DLP*"),TRUE)</f>
        <v>1</v>
      </c>
      <c r="L188" s="10" t="s">
        <v>130</v>
      </c>
    </row>
    <row r="189" spans="1:12" x14ac:dyDescent="0.3">
      <c r="A189" s="3" t="s">
        <v>8</v>
      </c>
      <c r="B189" s="4" t="str">
        <f>"TA5"</f>
        <v>TA5</v>
      </c>
      <c r="C189" s="4">
        <f>C188+1</f>
        <v>3</v>
      </c>
      <c r="D189" s="5" t="str" cm="1">
        <f t="array" ref="D189">A189&amp;B189&amp;_xlfn.IFS(C189 &lt; 10,"B00"&amp;C189,AND(C189 &gt;= 10,C189 &lt; 100),"B0"&amp;C189,C189 &gt;= 100,"B"&amp;C189)</f>
        <v>SMTA5B003</v>
      </c>
      <c r="E189" s="4" t="s">
        <v>28</v>
      </c>
      <c r="F189" s="5" t="str">
        <f>SUBSTITUTE(E189,"DLP"," ")</f>
        <v>Bahasa Arab</v>
      </c>
      <c r="G189" s="4" t="s">
        <v>36</v>
      </c>
      <c r="H189" s="5" t="str" cm="1">
        <f t="array" ref="H189">_xlfn.IFS(G189 = "KSSR","Kokurikulum Standard Sekolah Rendah",G189 = "KSSM","Kokurikulum Standard Sekolah Menengah",G189 = "KBDKBT","Kokurikulum Bersepadu Dini dan Kokurikulum Bersepadu Tahfiz",G189 = "SSeM","Sekolah Seni Malaysia",G189 = "KC","Kesusasteraan Cina",G189 = "KSSMPK","Pendidikan Khas",G189 = "MPEI","Mata Pelajaran Elektif Ikhtisas",G189 = "MPET","Mata Pelajaran Elektif Teknikal",G189 = "MPV","Mata Pelajaran Vokasional",G189 = "MPAK","Mata Pelajaran Aliran Kebangsaan")</f>
        <v>Kokurikulum Standard Sekolah Menengah</v>
      </c>
      <c r="I189" s="4" t="str" cm="1">
        <f t="array" ref="I189">_xlfn.IFS(A189="SR","Sekolah Rendah",A189="SM","Sekolah Menengah")</f>
        <v>Sekolah Menengah</v>
      </c>
      <c r="J189" s="4" t="str" cm="1">
        <f t="array" ref="J189">_xlfn.SWITCH(B189,"T1","Tahun 1","T2","Tahun 2","T3","Tahun 3","T4","Tahun 4","T5","Tahun 5","T6","Tahun 6","TB1","Tingkatan 1","TB2","Tingkatan 2","TB3","Tingkatan 3","TA4","Tingkatan 4","TA5","Tingkatan 5")</f>
        <v>Tingkatan 5</v>
      </c>
      <c r="K189" s="4" t="b">
        <f>IF(COUNTIF(E189,"*DLP*"),TRUE)</f>
        <v>0</v>
      </c>
      <c r="L189" s="7" t="s">
        <v>130</v>
      </c>
    </row>
    <row r="190" spans="1:12" x14ac:dyDescent="0.3">
      <c r="A190" s="8" t="s">
        <v>8</v>
      </c>
      <c r="B190" s="9" t="str">
        <f>"TA5"</f>
        <v>TA5</v>
      </c>
      <c r="C190" s="9">
        <f>C189+1</f>
        <v>4</v>
      </c>
      <c r="D190" s="6" t="str" cm="1">
        <f t="array" ref="D190">A190&amp;B190&amp;_xlfn.IFS(C190 &lt; 10,"B00"&amp;C190,AND(C190 &gt;= 10,C190 &lt; 100),"B0"&amp;C190,C190 &gt;= 100,"B"&amp;C190)</f>
        <v>SMTA5B004</v>
      </c>
      <c r="E190" s="9" t="s">
        <v>30</v>
      </c>
      <c r="F190" s="6" t="str">
        <f>SUBSTITUTE(E190,"DLP"," ")</f>
        <v>Bahasa Cina</v>
      </c>
      <c r="G190" s="9" t="s">
        <v>36</v>
      </c>
      <c r="H190" s="6" t="str" cm="1">
        <f t="array" ref="H190">_xlfn.IFS(G190 = "KSSR","Kokurikulum Standard Sekolah Rendah",G190 = "KSSM","Kokurikulum Standard Sekolah Menengah",G190 = "KBDKBT","Kokurikulum Bersepadu Dini dan Kokurikulum Bersepadu Tahfiz",G190 = "SSeM","Sekolah Seni Malaysia",G190 = "KC","Kesusasteraan Cina",G190 = "KSSMPK","Pendidikan Khas",G190 = "MPEI","Mata Pelajaran Elektif Ikhtisas",G190 = "MPET","Mata Pelajaran Elektif Teknikal",G190 = "MPV","Mata Pelajaran Vokasional",G190 = "MPAK","Mata Pelajaran Aliran Kebangsaan")</f>
        <v>Kokurikulum Standard Sekolah Menengah</v>
      </c>
      <c r="I190" s="9" t="str" cm="1">
        <f t="array" ref="I190">_xlfn.IFS(A190="SR","Sekolah Rendah",A190="SM","Sekolah Menengah")</f>
        <v>Sekolah Menengah</v>
      </c>
      <c r="J190" s="9" t="str" cm="1">
        <f t="array" ref="J190">_xlfn.SWITCH(B190,"T1","Tahun 1","T2","Tahun 2","T3","Tahun 3","T4","Tahun 4","T5","Tahun 5","T6","Tahun 6","TB1","Tingkatan 1","TB2","Tingkatan 2","TB3","Tingkatan 3","TA4","Tingkatan 4","TA5","Tingkatan 5")</f>
        <v>Tingkatan 5</v>
      </c>
      <c r="K190" s="9" t="b">
        <f>IF(COUNTIF(E190,"*DLP*"),TRUE)</f>
        <v>0</v>
      </c>
      <c r="L190" s="10" t="s">
        <v>130</v>
      </c>
    </row>
    <row r="191" spans="1:12" x14ac:dyDescent="0.3">
      <c r="A191" s="3" t="s">
        <v>8</v>
      </c>
      <c r="B191" s="4" t="str">
        <f>"TA5"</f>
        <v>TA5</v>
      </c>
      <c r="C191" s="4">
        <f>C190+1</f>
        <v>5</v>
      </c>
      <c r="D191" s="5" t="str" cm="1">
        <f t="array" ref="D191">A191&amp;B191&amp;_xlfn.IFS(C191 &lt; 10,"B00"&amp;C191,AND(C191 &gt;= 10,C191 &lt; 100),"B0"&amp;C191,C191 &gt;= 100,"B"&amp;C191)</f>
        <v>SMTA5B005</v>
      </c>
      <c r="E191" s="4" t="s">
        <v>51</v>
      </c>
      <c r="F191" s="5" t="str">
        <f>SUBSTITUTE(E191,"DLP"," ")</f>
        <v>Bahasa Iban</v>
      </c>
      <c r="G191" s="4" t="s">
        <v>36</v>
      </c>
      <c r="H191" s="5" t="str" cm="1">
        <f t="array" ref="H191">_xlfn.IFS(G191 = "KSSR","Kokurikulum Standard Sekolah Rendah",G191 = "KSSM","Kokurikulum Standard Sekolah Menengah",G191 = "KBDKBT","Kokurikulum Bersepadu Dini dan Kokurikulum Bersepadu Tahfiz",G191 = "SSeM","Sekolah Seni Malaysia",G191 = "KC","Kesusasteraan Cina",G191 = "KSSMPK","Pendidikan Khas",G191 = "MPEI","Mata Pelajaran Elektif Ikhtisas",G191 = "MPET","Mata Pelajaran Elektif Teknikal",G191 = "MPV","Mata Pelajaran Vokasional",G191 = "MPAK","Mata Pelajaran Aliran Kebangsaan")</f>
        <v>Kokurikulum Standard Sekolah Menengah</v>
      </c>
      <c r="I191" s="4" t="str" cm="1">
        <f t="array" ref="I191">_xlfn.IFS(A191="SR","Sekolah Rendah",A191="SM","Sekolah Menengah")</f>
        <v>Sekolah Menengah</v>
      </c>
      <c r="J191" s="4" t="str" cm="1">
        <f t="array" ref="J191">_xlfn.SWITCH(B191,"T1","Tahun 1","T2","Tahun 2","T3","Tahun 3","T4","Tahun 4","T5","Tahun 5","T6","Tahun 6","TB1","Tingkatan 1","TB2","Tingkatan 2","TB3","Tingkatan 3","TA4","Tingkatan 4","TA5","Tingkatan 5")</f>
        <v>Tingkatan 5</v>
      </c>
      <c r="K191" s="4" t="b">
        <f>IF(COUNTIF(E191,"*DLP*"),TRUE)</f>
        <v>0</v>
      </c>
      <c r="L191" s="7" t="s">
        <v>130</v>
      </c>
    </row>
    <row r="192" spans="1:12" x14ac:dyDescent="0.3">
      <c r="A192" s="8" t="s">
        <v>8</v>
      </c>
      <c r="B192" s="9" t="str">
        <f>"TA5"</f>
        <v>TA5</v>
      </c>
      <c r="C192" s="9">
        <f>C191+1</f>
        <v>6</v>
      </c>
      <c r="D192" s="6" t="str" cm="1">
        <f t="array" ref="D192">A192&amp;B192&amp;_xlfn.IFS(C192 &lt; 10,"B00"&amp;C192,AND(C192 &gt;= 10,C192 &lt; 100),"B0"&amp;C192,C192 &gt;= 100,"B"&amp;C192)</f>
        <v>SMTA5B006</v>
      </c>
      <c r="E192" s="9" t="s">
        <v>70</v>
      </c>
      <c r="F192" s="6" t="str">
        <f>SUBSTITUTE(E192,"DLP"," ")</f>
        <v>Bahasa Jepun Tingkatan 4 dan 5</v>
      </c>
      <c r="G192" s="9" t="s">
        <v>36</v>
      </c>
      <c r="H192" s="6" t="str" cm="1">
        <f t="array" ref="H192">_xlfn.IFS(G192 = "KSSR","Kokurikulum Standard Sekolah Rendah",G192 = "KSSM","Kokurikulum Standard Sekolah Menengah",G192 = "KBDKBT","Kokurikulum Bersepadu Dini dan Kokurikulum Bersepadu Tahfiz",G192 = "SSeM","Sekolah Seni Malaysia",G192 = "KC","Kesusasteraan Cina",G192 = "KSSMPK","Pendidikan Khas",G192 = "MPEI","Mata Pelajaran Elektif Ikhtisas",G192 = "MPET","Mata Pelajaran Elektif Teknikal",G192 = "MPV","Mata Pelajaran Vokasional",G192 = "MPAK","Mata Pelajaran Aliran Kebangsaan")</f>
        <v>Kokurikulum Standard Sekolah Menengah</v>
      </c>
      <c r="I192" s="9" t="str" cm="1">
        <f t="array" ref="I192">_xlfn.IFS(A192="SR","Sekolah Rendah",A192="SM","Sekolah Menengah")</f>
        <v>Sekolah Menengah</v>
      </c>
      <c r="J192" s="9" t="str" cm="1">
        <f t="array" ref="J192">_xlfn.SWITCH(B192,"T1","Tahun 1","T2","Tahun 2","T3","Tahun 3","T4","Tahun 4","T5","Tahun 5","T6","Tahun 6","TB1","Tingkatan 1","TB2","Tingkatan 2","TB3","Tingkatan 3","TA4","Tingkatan 4","TA5","Tingkatan 5")</f>
        <v>Tingkatan 5</v>
      </c>
      <c r="K192" s="9" t="b">
        <f>IF(COUNTIF(E192,"*DLP*"),TRUE)</f>
        <v>0</v>
      </c>
      <c r="L192" s="10" t="s">
        <v>130</v>
      </c>
    </row>
    <row r="193" spans="1:12" x14ac:dyDescent="0.3">
      <c r="A193" s="3" t="s">
        <v>8</v>
      </c>
      <c r="B193" s="4" t="str">
        <f>"TA5"</f>
        <v>TA5</v>
      </c>
      <c r="C193" s="4">
        <f>C192+1</f>
        <v>7</v>
      </c>
      <c r="D193" s="5" t="str" cm="1">
        <f t="array" ref="D193">A193&amp;B193&amp;_xlfn.IFS(C193 &lt; 10,"B00"&amp;C193,AND(C193 &gt;= 10,C193 &lt; 100),"B0"&amp;C193,C193 &gt;= 100,"B"&amp;C193)</f>
        <v>SMTA5B007</v>
      </c>
      <c r="E193" s="4" t="s">
        <v>48</v>
      </c>
      <c r="F193" s="5" t="str">
        <f>SUBSTITUTE(E193,"DLP"," ")</f>
        <v>Bahasa Kadazandusun</v>
      </c>
      <c r="G193" s="4" t="s">
        <v>36</v>
      </c>
      <c r="H193" s="5" t="str" cm="1">
        <f t="array" ref="H193">_xlfn.IFS(G193 = "KSSR","Kokurikulum Standard Sekolah Rendah",G193 = "KSSM","Kokurikulum Standard Sekolah Menengah",G193 = "KBDKBT","Kokurikulum Bersepadu Dini dan Kokurikulum Bersepadu Tahfiz",G193 = "SSeM","Sekolah Seni Malaysia",G193 = "KC","Kesusasteraan Cina",G193 = "KSSMPK","Pendidikan Khas",G193 = "MPEI","Mata Pelajaran Elektif Ikhtisas",G193 = "MPET","Mata Pelajaran Elektif Teknikal",G193 = "MPV","Mata Pelajaran Vokasional",G193 = "MPAK","Mata Pelajaran Aliran Kebangsaan")</f>
        <v>Kokurikulum Standard Sekolah Menengah</v>
      </c>
      <c r="I193" s="4" t="str" cm="1">
        <f t="array" ref="I193">_xlfn.IFS(A193="SR","Sekolah Rendah",A193="SM","Sekolah Menengah")</f>
        <v>Sekolah Menengah</v>
      </c>
      <c r="J193" s="4" t="str" cm="1">
        <f t="array" ref="J193">_xlfn.SWITCH(B193,"T1","Tahun 1","T2","Tahun 2","T3","Tahun 3","T4","Tahun 4","T5","Tahun 5","T6","Tahun 6","TB1","Tingkatan 1","TB2","Tingkatan 2","TB3","Tingkatan 3","TA4","Tingkatan 4","TA5","Tingkatan 5")</f>
        <v>Tingkatan 5</v>
      </c>
      <c r="K193" s="4" t="b">
        <f>IF(COUNTIF(E193,"*DLP*"),TRUE)</f>
        <v>0</v>
      </c>
      <c r="L193" s="7" t="s">
        <v>130</v>
      </c>
    </row>
    <row r="194" spans="1:12" x14ac:dyDescent="0.3">
      <c r="A194" s="8" t="s">
        <v>8</v>
      </c>
      <c r="B194" s="9" t="str">
        <f>"TA5"</f>
        <v>TA5</v>
      </c>
      <c r="C194" s="9">
        <f>C193+1</f>
        <v>8</v>
      </c>
      <c r="D194" s="6" t="str" cm="1">
        <f t="array" ref="D194">A194&amp;B194&amp;_xlfn.IFS(C194 &lt; 10,"B00"&amp;C194,AND(C194 &gt;= 10,C194 &lt; 100),"B0"&amp;C194,C194 &gt;= 100,"B"&amp;C194)</f>
        <v>SMTA5B008</v>
      </c>
      <c r="E194" s="9" t="s">
        <v>7</v>
      </c>
      <c r="F194" s="6" t="str">
        <f>SUBSTITUTE(E194,"DLP"," ")</f>
        <v>Bahasa Melayu</v>
      </c>
      <c r="G194" s="9" t="s">
        <v>36</v>
      </c>
      <c r="H194" s="6" t="str" cm="1">
        <f t="array" ref="H194">_xlfn.IFS(G194 = "KSSR","Kokurikulum Standard Sekolah Rendah",G194 = "KSSM","Kokurikulum Standard Sekolah Menengah",G194 = "KBDKBT","Kokurikulum Bersepadu Dini dan Kokurikulum Bersepadu Tahfiz",G194 = "SSeM","Sekolah Seni Malaysia",G194 = "KC","Kesusasteraan Cina",G194 = "KSSMPK","Pendidikan Khas",G194 = "MPEI","Mata Pelajaran Elektif Ikhtisas",G194 = "MPET","Mata Pelajaran Elektif Teknikal",G194 = "MPV","Mata Pelajaran Vokasional",G194 = "MPAK","Mata Pelajaran Aliran Kebangsaan")</f>
        <v>Kokurikulum Standard Sekolah Menengah</v>
      </c>
      <c r="I194" s="9" t="str" cm="1">
        <f t="array" ref="I194">_xlfn.IFS(A194="SR","Sekolah Rendah",A194="SM","Sekolah Menengah")</f>
        <v>Sekolah Menengah</v>
      </c>
      <c r="J194" s="9" t="str" cm="1">
        <f t="array" ref="J194">_xlfn.SWITCH(B194,"T1","Tahun 1","T2","Tahun 2","T3","Tahun 3","T4","Tahun 4","T5","Tahun 5","T6","Tahun 6","TB1","Tingkatan 1","TB2","Tingkatan 2","TB3","Tingkatan 3","TA4","Tingkatan 4","TA5","Tingkatan 5")</f>
        <v>Tingkatan 5</v>
      </c>
      <c r="K194" s="9" t="b">
        <f>IF(COUNTIF(E194,"*DLP*"),TRUE)</f>
        <v>0</v>
      </c>
      <c r="L194" s="10" t="s">
        <v>130</v>
      </c>
    </row>
    <row r="195" spans="1:12" x14ac:dyDescent="0.3">
      <c r="A195" s="3" t="s">
        <v>8</v>
      </c>
      <c r="B195" s="4" t="str">
        <f>"TA5"</f>
        <v>TA5</v>
      </c>
      <c r="C195" s="4">
        <f>C194+1</f>
        <v>9</v>
      </c>
      <c r="D195" s="5" t="str" cm="1">
        <f t="array" ref="D195">A195&amp;B195&amp;_xlfn.IFS(C195 &lt; 10,"B00"&amp;C195,AND(C195 &gt;= 10,C195 &lt; 100),"B0"&amp;C195,C195 &gt;= 100,"B"&amp;C195)</f>
        <v>SMTA5B009</v>
      </c>
      <c r="E195" s="4" t="s">
        <v>31</v>
      </c>
      <c r="F195" s="5" t="str">
        <f>SUBSTITUTE(E195,"DLP"," ")</f>
        <v>Bahasa Semai</v>
      </c>
      <c r="G195" s="4" t="s">
        <v>36</v>
      </c>
      <c r="H195" s="5" t="str" cm="1">
        <f t="array" ref="H195">_xlfn.IFS(G195 = "KSSR","Kokurikulum Standard Sekolah Rendah",G195 = "KSSM","Kokurikulum Standard Sekolah Menengah",G195 = "KBDKBT","Kokurikulum Bersepadu Dini dan Kokurikulum Bersepadu Tahfiz",G195 = "SSeM","Sekolah Seni Malaysia",G195 = "KC","Kesusasteraan Cina",G195 = "KSSMPK","Pendidikan Khas",G195 = "MPEI","Mata Pelajaran Elektif Ikhtisas",G195 = "MPET","Mata Pelajaran Elektif Teknikal",G195 = "MPV","Mata Pelajaran Vokasional",G195 = "MPAK","Mata Pelajaran Aliran Kebangsaan")</f>
        <v>Kokurikulum Standard Sekolah Menengah</v>
      </c>
      <c r="I195" s="4" t="str" cm="1">
        <f t="array" ref="I195">_xlfn.IFS(A195="SR","Sekolah Rendah",A195="SM","Sekolah Menengah")</f>
        <v>Sekolah Menengah</v>
      </c>
      <c r="J195" s="4" t="str" cm="1">
        <f t="array" ref="J195">_xlfn.SWITCH(B195,"T1","Tahun 1","T2","Tahun 2","T3","Tahun 3","T4","Tahun 4","T5","Tahun 5","T6","Tahun 6","TB1","Tingkatan 1","TB2","Tingkatan 2","TB3","Tingkatan 3","TA4","Tingkatan 4","TA5","Tingkatan 5")</f>
        <v>Tingkatan 5</v>
      </c>
      <c r="K195" s="4" t="b">
        <f>IF(COUNTIF(E195,"*DLP*"),TRUE)</f>
        <v>0</v>
      </c>
      <c r="L195" s="7" t="s">
        <v>130</v>
      </c>
    </row>
    <row r="196" spans="1:12" x14ac:dyDescent="0.3">
      <c r="A196" s="8" t="s">
        <v>8</v>
      </c>
      <c r="B196" s="9" t="str">
        <f>"TA5"</f>
        <v>TA5</v>
      </c>
      <c r="C196" s="9">
        <f>C195+1</f>
        <v>10</v>
      </c>
      <c r="D196" s="6" t="str" cm="1">
        <f t="array" ref="D196">A196&amp;B196&amp;_xlfn.IFS(C196 &lt; 10,"B00"&amp;C196,AND(C196 &gt;= 10,C196 &lt; 100),"B0"&amp;C196,C196 &gt;= 100,"B"&amp;C196)</f>
        <v>SMTA5B010</v>
      </c>
      <c r="E196" s="9" t="s">
        <v>33</v>
      </c>
      <c r="F196" s="6" t="str">
        <f>SUBSTITUTE(E196,"DLP"," ")</f>
        <v>Bahasa Tamil</v>
      </c>
      <c r="G196" s="9" t="s">
        <v>36</v>
      </c>
      <c r="H196" s="6" t="str" cm="1">
        <f t="array" ref="H196">_xlfn.IFS(G196 = "KSSR","Kokurikulum Standard Sekolah Rendah",G196 = "KSSM","Kokurikulum Standard Sekolah Menengah",G196 = "KBDKBT","Kokurikulum Bersepadu Dini dan Kokurikulum Bersepadu Tahfiz",G196 = "SSeM","Sekolah Seni Malaysia",G196 = "KC","Kesusasteraan Cina",G196 = "KSSMPK","Pendidikan Khas",G196 = "MPEI","Mata Pelajaran Elektif Ikhtisas",G196 = "MPET","Mata Pelajaran Elektif Teknikal",G196 = "MPV","Mata Pelajaran Vokasional",G196 = "MPAK","Mata Pelajaran Aliran Kebangsaan")</f>
        <v>Kokurikulum Standard Sekolah Menengah</v>
      </c>
      <c r="I196" s="9" t="str" cm="1">
        <f t="array" ref="I196">_xlfn.IFS(A196="SR","Sekolah Rendah",A196="SM","Sekolah Menengah")</f>
        <v>Sekolah Menengah</v>
      </c>
      <c r="J196" s="9" t="str" cm="1">
        <f t="array" ref="J196">_xlfn.SWITCH(B196,"T1","Tahun 1","T2","Tahun 2","T3","Tahun 3","T4","Tahun 4","T5","Tahun 5","T6","Tahun 6","TB1","Tingkatan 1","TB2","Tingkatan 2","TB3","Tingkatan 3","TA4","Tingkatan 4","TA5","Tingkatan 5")</f>
        <v>Tingkatan 5</v>
      </c>
      <c r="K196" s="9" t="b">
        <f>IF(COUNTIF(E196,"*DLP*"),TRUE)</f>
        <v>0</v>
      </c>
      <c r="L196" s="10" t="s">
        <v>130</v>
      </c>
    </row>
    <row r="197" spans="1:12" x14ac:dyDescent="0.3">
      <c r="A197" s="3" t="s">
        <v>8</v>
      </c>
      <c r="B197" s="4" t="str">
        <f>"TA5"</f>
        <v>TA5</v>
      </c>
      <c r="C197" s="4">
        <f>C196+1</f>
        <v>11</v>
      </c>
      <c r="D197" s="5" t="str" cm="1">
        <f t="array" ref="D197">A197&amp;B197&amp;_xlfn.IFS(C197 &lt; 10,"B00"&amp;C197,AND(C197 &gt;= 10,C197 &lt; 100),"B0"&amp;C197,C197 &gt;= 100,"B"&amp;C197)</f>
        <v>SMTA5B011</v>
      </c>
      <c r="E197" s="4" t="s">
        <v>58</v>
      </c>
      <c r="F197" s="5" t="str">
        <f>SUBSTITUTE(E197,"DLP"," ")</f>
        <v>Biologi</v>
      </c>
      <c r="G197" s="4" t="s">
        <v>36</v>
      </c>
      <c r="H197" s="5" t="str" cm="1">
        <f t="array" ref="H197">_xlfn.IFS(G197 = "KSSR","Kokurikulum Standard Sekolah Rendah",G197 = "KSSM","Kokurikulum Standard Sekolah Menengah",G197 = "KBDKBT","Kokurikulum Bersepadu Dini dan Kokurikulum Bersepadu Tahfiz",G197 = "SSeM","Sekolah Seni Malaysia",G197 = "KC","Kesusasteraan Cina",G197 = "KSSMPK","Pendidikan Khas",G197 = "MPEI","Mata Pelajaran Elektif Ikhtisas",G197 = "MPET","Mata Pelajaran Elektif Teknikal",G197 = "MPV","Mata Pelajaran Vokasional",G197 = "MPAK","Mata Pelajaran Aliran Kebangsaan")</f>
        <v>Kokurikulum Standard Sekolah Menengah</v>
      </c>
      <c r="I197" s="4" t="str" cm="1">
        <f t="array" ref="I197">_xlfn.IFS(A197="SR","Sekolah Rendah",A197="SM","Sekolah Menengah")</f>
        <v>Sekolah Menengah</v>
      </c>
      <c r="J197" s="4" t="str" cm="1">
        <f t="array" ref="J197">_xlfn.SWITCH(B197,"T1","Tahun 1","T2","Tahun 2","T3","Tahun 3","T4","Tahun 4","T5","Tahun 5","T6","Tahun 6","TB1","Tingkatan 1","TB2","Tingkatan 2","TB3","Tingkatan 3","TA4","Tingkatan 4","TA5","Tingkatan 5")</f>
        <v>Tingkatan 5</v>
      </c>
      <c r="K197" s="4" t="b">
        <f>IF(COUNTIF(E197,"*DLP*"),TRUE)</f>
        <v>0</v>
      </c>
      <c r="L197" s="7" t="s">
        <v>130</v>
      </c>
    </row>
    <row r="198" spans="1:12" x14ac:dyDescent="0.3">
      <c r="A198" s="8" t="s">
        <v>8</v>
      </c>
      <c r="B198" s="9" t="str">
        <f>"TA5"</f>
        <v>TA5</v>
      </c>
      <c r="C198" s="9">
        <f>C197+1</f>
        <v>12</v>
      </c>
      <c r="D198" s="6" t="str" cm="1">
        <f t="array" ref="D198">A198&amp;B198&amp;_xlfn.IFS(C198 &lt; 10,"B00"&amp;C198,AND(C198 &gt;= 10,C198 &lt; 100),"B0"&amp;C198,C198 &gt;= 100,"B"&amp;C198)</f>
        <v>SMTA5B012</v>
      </c>
      <c r="E198" s="9" t="s">
        <v>59</v>
      </c>
      <c r="F198" s="6" t="str">
        <f>SUBSTITUTE(E198,"DLP"," ")</f>
        <v xml:space="preserve">Biology  </v>
      </c>
      <c r="G198" s="9" t="s">
        <v>36</v>
      </c>
      <c r="H198" s="6" t="str" cm="1">
        <f t="array" ref="H198">_xlfn.IFS(G198 = "KSSR","Kokurikulum Standard Sekolah Rendah",G198 = "KSSM","Kokurikulum Standard Sekolah Menengah",G198 = "KBDKBT","Kokurikulum Bersepadu Dini dan Kokurikulum Bersepadu Tahfiz",G198 = "SSeM","Sekolah Seni Malaysia",G198 = "KC","Kesusasteraan Cina",G198 = "KSSMPK","Pendidikan Khas",G198 = "MPEI","Mata Pelajaran Elektif Ikhtisas",G198 = "MPET","Mata Pelajaran Elektif Teknikal",G198 = "MPV","Mata Pelajaran Vokasional",G198 = "MPAK","Mata Pelajaran Aliran Kebangsaan")</f>
        <v>Kokurikulum Standard Sekolah Menengah</v>
      </c>
      <c r="I198" s="9" t="str" cm="1">
        <f t="array" ref="I198">_xlfn.IFS(A198="SR","Sekolah Rendah",A198="SM","Sekolah Menengah")</f>
        <v>Sekolah Menengah</v>
      </c>
      <c r="J198" s="9" t="str" cm="1">
        <f t="array" ref="J198">_xlfn.SWITCH(B198,"T1","Tahun 1","T2","Tahun 2","T3","Tahun 3","T4","Tahun 4","T5","Tahun 5","T6","Tahun 6","TB1","Tingkatan 1","TB2","Tingkatan 2","TB3","Tingkatan 3","TA4","Tingkatan 4","TA5","Tingkatan 5")</f>
        <v>Tingkatan 5</v>
      </c>
      <c r="K198" s="9" t="b">
        <f>IF(COUNTIF(E198,"*DLP*"),TRUE)</f>
        <v>1</v>
      </c>
      <c r="L198" s="10" t="s">
        <v>130</v>
      </c>
    </row>
    <row r="199" spans="1:12" x14ac:dyDescent="0.3">
      <c r="A199" s="3" t="s">
        <v>8</v>
      </c>
      <c r="B199" s="4" t="str">
        <f>"TA5"</f>
        <v>TA5</v>
      </c>
      <c r="C199" s="4">
        <f>C198+1</f>
        <v>13</v>
      </c>
      <c r="D199" s="5" t="str" cm="1">
        <f t="array" ref="D199">A199&amp;B199&amp;_xlfn.IFS(C199 &lt; 10,"B00"&amp;C199,AND(C199 &gt;= 10,C199 &lt; 100),"B0"&amp;C199,C199 &gt;= 100,"B"&amp;C199)</f>
        <v>SMTA5B013</v>
      </c>
      <c r="E199" s="4" t="s">
        <v>61</v>
      </c>
      <c r="F199" s="5" t="str">
        <f>SUBSTITUTE(E199,"DLP"," ")</f>
        <v xml:space="preserve">Chemistry  </v>
      </c>
      <c r="G199" s="4" t="s">
        <v>36</v>
      </c>
      <c r="H199" s="5" t="str" cm="1">
        <f t="array" ref="H199">_xlfn.IFS(G199 = "KSSR","Kokurikulum Standard Sekolah Rendah",G199 = "KSSM","Kokurikulum Standard Sekolah Menengah",G199 = "KBDKBT","Kokurikulum Bersepadu Dini dan Kokurikulum Bersepadu Tahfiz",G199 = "SSeM","Sekolah Seni Malaysia",G199 = "KC","Kesusasteraan Cina",G199 = "KSSMPK","Pendidikan Khas",G199 = "MPEI","Mata Pelajaran Elektif Ikhtisas",G199 = "MPET","Mata Pelajaran Elektif Teknikal",G199 = "MPV","Mata Pelajaran Vokasional",G199 = "MPAK","Mata Pelajaran Aliran Kebangsaan")</f>
        <v>Kokurikulum Standard Sekolah Menengah</v>
      </c>
      <c r="I199" s="4" t="str" cm="1">
        <f t="array" ref="I199">_xlfn.IFS(A199="SR","Sekolah Rendah",A199="SM","Sekolah Menengah")</f>
        <v>Sekolah Menengah</v>
      </c>
      <c r="J199" s="4" t="str" cm="1">
        <f t="array" ref="J199">_xlfn.SWITCH(B199,"T1","Tahun 1","T2","Tahun 2","T3","Tahun 3","T4","Tahun 4","T5","Tahun 5","T6","Tahun 6","TB1","Tingkatan 1","TB2","Tingkatan 2","TB3","Tingkatan 3","TA4","Tingkatan 4","TA5","Tingkatan 5")</f>
        <v>Tingkatan 5</v>
      </c>
      <c r="K199" s="4" t="b">
        <f>IF(COUNTIF(E199,"*DLP*"),TRUE)</f>
        <v>1</v>
      </c>
      <c r="L199" s="7" t="s">
        <v>130</v>
      </c>
    </row>
    <row r="200" spans="1:12" x14ac:dyDescent="0.3">
      <c r="A200" s="8" t="s">
        <v>8</v>
      </c>
      <c r="B200" s="9" t="str">
        <f>"TA5"</f>
        <v>TA5</v>
      </c>
      <c r="C200" s="9">
        <f>C199+1</f>
        <v>14</v>
      </c>
      <c r="D200" s="6" t="str" cm="1">
        <f t="array" ref="D200">A200&amp;B200&amp;_xlfn.IFS(C200 &lt; 10,"B00"&amp;C200,AND(C200 &gt;= 10,C200 &lt; 100),"B0"&amp;C200,C200 &gt;= 100,"B"&amp;C200)</f>
        <v>SMTA5B014</v>
      </c>
      <c r="E200" s="9" t="s">
        <v>121</v>
      </c>
      <c r="F200" s="6" t="str">
        <f>SUBSTITUTE(E200,"DLP"," ")</f>
        <v>English Download</v>
      </c>
      <c r="G200" s="9" t="s">
        <v>36</v>
      </c>
      <c r="H200" s="6" t="str" cm="1">
        <f t="array" ref="H200">_xlfn.IFS(G200 = "KSSR","Kokurikulum Standard Sekolah Rendah",G200 = "KSSM","Kokurikulum Standard Sekolah Menengah",G200 = "KBDKBT","Kokurikulum Bersepadu Dini dan Kokurikulum Bersepadu Tahfiz",G200 = "SSeM","Sekolah Seni Malaysia",G200 = "KC","Kesusasteraan Cina",G200 = "KSSMPK","Pendidikan Khas",G200 = "MPEI","Mata Pelajaran Elektif Ikhtisas",G200 = "MPET","Mata Pelajaran Elektif Teknikal",G200 = "MPV","Mata Pelajaran Vokasional",G200 = "MPAK","Mata Pelajaran Aliran Kebangsaan")</f>
        <v>Kokurikulum Standard Sekolah Menengah</v>
      </c>
      <c r="I200" s="9" t="str" cm="1">
        <f t="array" ref="I200">_xlfn.IFS(A200="SR","Sekolah Rendah",A200="SM","Sekolah Menengah")</f>
        <v>Sekolah Menengah</v>
      </c>
      <c r="J200" s="9" t="str" cm="1">
        <f t="array" ref="J200">_xlfn.SWITCH(B200,"T1","Tahun 1","T2","Tahun 2","T3","Tahun 3","T4","Tahun 4","T5","Tahun 5","T6","Tahun 6","TB1","Tingkatan 1","TB2","Tingkatan 2","TB3","Tingkatan 3","TA4","Tingkatan 4","TA5","Tingkatan 5")</f>
        <v>Tingkatan 5</v>
      </c>
      <c r="K200" s="9" t="b">
        <f>IF(COUNTIF(E200,"*DLP*"),TRUE)</f>
        <v>0</v>
      </c>
      <c r="L200" s="10" t="s">
        <v>130</v>
      </c>
    </row>
    <row r="201" spans="1:12" x14ac:dyDescent="0.3">
      <c r="A201" s="3" t="s">
        <v>8</v>
      </c>
      <c r="B201" s="4" t="str">
        <f>"TA5"</f>
        <v>TA5</v>
      </c>
      <c r="C201" s="4">
        <f>C200+1</f>
        <v>15</v>
      </c>
      <c r="D201" s="5" t="str" cm="1">
        <f t="array" ref="D201">A201&amp;B201&amp;_xlfn.IFS(C201 &lt; 10,"B00"&amp;C201,AND(C201 &gt;= 10,C201 &lt; 100),"B0"&amp;C201,C201 &gt;= 100,"B"&amp;C201)</f>
        <v>SMTA5B015</v>
      </c>
      <c r="E201" s="4" t="s">
        <v>62</v>
      </c>
      <c r="F201" s="5" t="str">
        <f>SUBSTITUTE(E201,"DLP"," ")</f>
        <v>Fizik</v>
      </c>
      <c r="G201" s="4" t="s">
        <v>36</v>
      </c>
      <c r="H201" s="5" t="str" cm="1">
        <f t="array" ref="H201">_xlfn.IFS(G201 = "KSSR","Kokurikulum Standard Sekolah Rendah",G201 = "KSSM","Kokurikulum Standard Sekolah Menengah",G201 = "KBDKBT","Kokurikulum Bersepadu Dini dan Kokurikulum Bersepadu Tahfiz",G201 = "SSeM","Sekolah Seni Malaysia",G201 = "KC","Kesusasteraan Cina",G201 = "KSSMPK","Pendidikan Khas",G201 = "MPEI","Mata Pelajaran Elektif Ikhtisas",G201 = "MPET","Mata Pelajaran Elektif Teknikal",G201 = "MPV","Mata Pelajaran Vokasional",G201 = "MPAK","Mata Pelajaran Aliran Kebangsaan")</f>
        <v>Kokurikulum Standard Sekolah Menengah</v>
      </c>
      <c r="I201" s="4" t="str" cm="1">
        <f t="array" ref="I201">_xlfn.IFS(A201="SR","Sekolah Rendah",A201="SM","Sekolah Menengah")</f>
        <v>Sekolah Menengah</v>
      </c>
      <c r="J201" s="4" t="str" cm="1">
        <f t="array" ref="J201">_xlfn.SWITCH(B201,"T1","Tahun 1","T2","Tahun 2","T3","Tahun 3","T4","Tahun 4","T5","Tahun 5","T6","Tahun 6","TB1","Tingkatan 1","TB2","Tingkatan 2","TB3","Tingkatan 3","TA4","Tingkatan 4","TA5","Tingkatan 5")</f>
        <v>Tingkatan 5</v>
      </c>
      <c r="K201" s="4" t="b">
        <f>IF(COUNTIF(E201,"*DLP*"),TRUE)</f>
        <v>0</v>
      </c>
      <c r="L201" s="7" t="s">
        <v>130</v>
      </c>
    </row>
    <row r="202" spans="1:12" x14ac:dyDescent="0.3">
      <c r="A202" s="8" t="s">
        <v>8</v>
      </c>
      <c r="B202" s="9" t="str">
        <f>"TA5"</f>
        <v>TA5</v>
      </c>
      <c r="C202" s="9">
        <f>C201+1</f>
        <v>16</v>
      </c>
      <c r="D202" s="6" t="str" cm="1">
        <f t="array" ref="D202">A202&amp;B202&amp;_xlfn.IFS(C202 &lt; 10,"B00"&amp;C202,AND(C202 &gt;= 10,C202 &lt; 100),"B0"&amp;C202,C202 &gt;= 100,"B"&amp;C202)</f>
        <v>SMTA5B016</v>
      </c>
      <c r="E202" s="9" t="s">
        <v>17</v>
      </c>
      <c r="F202" s="6" t="str">
        <f>SUBSTITUTE(E202,"DLP"," ")</f>
        <v>Geografi</v>
      </c>
      <c r="G202" s="9" t="s">
        <v>36</v>
      </c>
      <c r="H202" s="6" t="str" cm="1">
        <f t="array" ref="H202">_xlfn.IFS(G202 = "KSSR","Kokurikulum Standard Sekolah Rendah",G202 = "KSSM","Kokurikulum Standard Sekolah Menengah",G202 = "KBDKBT","Kokurikulum Bersepadu Dini dan Kokurikulum Bersepadu Tahfiz",G202 = "SSeM","Sekolah Seni Malaysia",G202 = "KC","Kesusasteraan Cina",G202 = "KSSMPK","Pendidikan Khas",G202 = "MPEI","Mata Pelajaran Elektif Ikhtisas",G202 = "MPET","Mata Pelajaran Elektif Teknikal",G202 = "MPV","Mata Pelajaran Vokasional",G202 = "MPAK","Mata Pelajaran Aliran Kebangsaan")</f>
        <v>Kokurikulum Standard Sekolah Menengah</v>
      </c>
      <c r="I202" s="9" t="str" cm="1">
        <f t="array" ref="I202">_xlfn.IFS(A202="SR","Sekolah Rendah",A202="SM","Sekolah Menengah")</f>
        <v>Sekolah Menengah</v>
      </c>
      <c r="J202" s="9" t="str" cm="1">
        <f t="array" ref="J202">_xlfn.SWITCH(B202,"T1","Tahun 1","T2","Tahun 2","T3","Tahun 3","T4","Tahun 4","T5","Tahun 5","T6","Tahun 6","TB1","Tingkatan 1","TB2","Tingkatan 2","TB3","Tingkatan 3","TA4","Tingkatan 4","TA5","Tingkatan 5")</f>
        <v>Tingkatan 5</v>
      </c>
      <c r="K202" s="9" t="b">
        <f>IF(COUNTIF(E202,"*DLP*"),TRUE)</f>
        <v>0</v>
      </c>
      <c r="L202" s="10" t="s">
        <v>130</v>
      </c>
    </row>
    <row r="203" spans="1:12" x14ac:dyDescent="0.3">
      <c r="A203" s="3" t="s">
        <v>8</v>
      </c>
      <c r="B203" s="4" t="str">
        <f>"TA5"</f>
        <v>TA5</v>
      </c>
      <c r="C203" s="4">
        <f>C202+1</f>
        <v>17</v>
      </c>
      <c r="D203" s="5" t="str" cm="1">
        <f t="array" ref="D203">A203&amp;B203&amp;_xlfn.IFS(C203 &lt; 10,"B00"&amp;C203,AND(C203 &gt;= 10,C203 &lt; 100),"B0"&amp;C203,C203 &gt;= 100,"B"&amp;C203)</f>
        <v>SMTA5B017</v>
      </c>
      <c r="E203" s="4" t="s">
        <v>60</v>
      </c>
      <c r="F203" s="5" t="str">
        <f>SUBSTITUTE(E203,"DLP"," ")</f>
        <v>Kimia</v>
      </c>
      <c r="G203" s="4" t="s">
        <v>36</v>
      </c>
      <c r="H203" s="5" t="str" cm="1">
        <f t="array" ref="H203">_xlfn.IFS(G203 = "KSSR","Kokurikulum Standard Sekolah Rendah",G203 = "KSSM","Kokurikulum Standard Sekolah Menengah",G203 = "KBDKBT","Kokurikulum Bersepadu Dini dan Kokurikulum Bersepadu Tahfiz",G203 = "SSeM","Sekolah Seni Malaysia",G203 = "KC","Kesusasteraan Cina",G203 = "KSSMPK","Pendidikan Khas",G203 = "MPEI","Mata Pelajaran Elektif Ikhtisas",G203 = "MPET","Mata Pelajaran Elektif Teknikal",G203 = "MPV","Mata Pelajaran Vokasional",G203 = "MPAK","Mata Pelajaran Aliran Kebangsaan")</f>
        <v>Kokurikulum Standard Sekolah Menengah</v>
      </c>
      <c r="I203" s="4" t="str" cm="1">
        <f t="array" ref="I203">_xlfn.IFS(A203="SR","Sekolah Rendah",A203="SM","Sekolah Menengah")</f>
        <v>Sekolah Menengah</v>
      </c>
      <c r="J203" s="4" t="str" cm="1">
        <f t="array" ref="J203">_xlfn.SWITCH(B203,"T1","Tahun 1","T2","Tahun 2","T3","Tahun 3","T4","Tahun 4","T5","Tahun 5","T6","Tahun 6","TB1","Tingkatan 1","TB2","Tingkatan 2","TB3","Tingkatan 3","TA4","Tingkatan 4","TA5","Tingkatan 5")</f>
        <v>Tingkatan 5</v>
      </c>
      <c r="K203" s="4" t="b">
        <f>IF(COUNTIF(E203,"*DLP*"),TRUE)</f>
        <v>0</v>
      </c>
      <c r="L203" s="7" t="s">
        <v>130</v>
      </c>
    </row>
    <row r="204" spans="1:12" x14ac:dyDescent="0.3">
      <c r="A204" s="8" t="s">
        <v>8</v>
      </c>
      <c r="B204" s="9" t="str">
        <f>"TA5"</f>
        <v>TA5</v>
      </c>
      <c r="C204" s="9">
        <f>C203+1</f>
        <v>18</v>
      </c>
      <c r="D204" s="6" t="str" cm="1">
        <f t="array" ref="D204">A204&amp;B204&amp;_xlfn.IFS(C204 &lt; 10,"B00"&amp;C204,AND(C204 &gt;= 10,C204 &lt; 100),"B0"&amp;C204,C204 &gt;= 100,"B"&amp;C204)</f>
        <v>SMTA5B018</v>
      </c>
      <c r="E204" s="9" t="s">
        <v>11</v>
      </c>
      <c r="F204" s="6" t="str">
        <f>SUBSTITUTE(E204,"DLP"," ")</f>
        <v>Matematik</v>
      </c>
      <c r="G204" s="9" t="s">
        <v>36</v>
      </c>
      <c r="H204" s="6" t="str" cm="1">
        <f t="array" ref="H204">_xlfn.IFS(G204 = "KSSR","Kokurikulum Standard Sekolah Rendah",G204 = "KSSM","Kokurikulum Standard Sekolah Menengah",G204 = "KBDKBT","Kokurikulum Bersepadu Dini dan Kokurikulum Bersepadu Tahfiz",G204 = "SSeM","Sekolah Seni Malaysia",G204 = "KC","Kesusasteraan Cina",G204 = "KSSMPK","Pendidikan Khas",G204 = "MPEI","Mata Pelajaran Elektif Ikhtisas",G204 = "MPET","Mata Pelajaran Elektif Teknikal",G204 = "MPV","Mata Pelajaran Vokasional",G204 = "MPAK","Mata Pelajaran Aliran Kebangsaan")</f>
        <v>Kokurikulum Standard Sekolah Menengah</v>
      </c>
      <c r="I204" s="9" t="str" cm="1">
        <f t="array" ref="I204">_xlfn.IFS(A204="SR","Sekolah Rendah",A204="SM","Sekolah Menengah")</f>
        <v>Sekolah Menengah</v>
      </c>
      <c r="J204" s="9" t="str" cm="1">
        <f t="array" ref="J204">_xlfn.SWITCH(B204,"T1","Tahun 1","T2","Tahun 2","T3","Tahun 3","T4","Tahun 4","T5","Tahun 5","T6","Tahun 6","TB1","Tingkatan 1","TB2","Tingkatan 2","TB3","Tingkatan 3","TA4","Tingkatan 4","TA5","Tingkatan 5")</f>
        <v>Tingkatan 5</v>
      </c>
      <c r="K204" s="9" t="b">
        <f>IF(COUNTIF(E204,"*DLP*"),TRUE)</f>
        <v>0</v>
      </c>
      <c r="L204" s="10" t="s">
        <v>130</v>
      </c>
    </row>
    <row r="205" spans="1:12" x14ac:dyDescent="0.3">
      <c r="A205" s="3" t="s">
        <v>8</v>
      </c>
      <c r="B205" s="4" t="str">
        <f>"TA5"</f>
        <v>TA5</v>
      </c>
      <c r="C205" s="4">
        <f>C204+1</f>
        <v>19</v>
      </c>
      <c r="D205" s="5" t="str" cm="1">
        <f t="array" ref="D205">A205&amp;B205&amp;_xlfn.IFS(C205 &lt; 10,"B00"&amp;C205,AND(C205 &gt;= 10,C205 &lt; 100),"B0"&amp;C205,C205 &gt;= 100,"B"&amp;C205)</f>
        <v>SMTA5B019</v>
      </c>
      <c r="E205" s="4" t="s">
        <v>55</v>
      </c>
      <c r="F205" s="5" t="str">
        <f>SUBSTITUTE(E205,"DLP"," ")</f>
        <v>Matematik Tambahan</v>
      </c>
      <c r="G205" s="4" t="s">
        <v>36</v>
      </c>
      <c r="H205" s="5" t="str" cm="1">
        <f t="array" ref="H205">_xlfn.IFS(G205 = "KSSR","Kokurikulum Standard Sekolah Rendah",G205 = "KSSM","Kokurikulum Standard Sekolah Menengah",G205 = "KBDKBT","Kokurikulum Bersepadu Dini dan Kokurikulum Bersepadu Tahfiz",G205 = "SSeM","Sekolah Seni Malaysia",G205 = "KC","Kesusasteraan Cina",G205 = "KSSMPK","Pendidikan Khas",G205 = "MPEI","Mata Pelajaran Elektif Ikhtisas",G205 = "MPET","Mata Pelajaran Elektif Teknikal",G205 = "MPV","Mata Pelajaran Vokasional",G205 = "MPAK","Mata Pelajaran Aliran Kebangsaan")</f>
        <v>Kokurikulum Standard Sekolah Menengah</v>
      </c>
      <c r="I205" s="4" t="str" cm="1">
        <f t="array" ref="I205">_xlfn.IFS(A205="SR","Sekolah Rendah",A205="SM","Sekolah Menengah")</f>
        <v>Sekolah Menengah</v>
      </c>
      <c r="J205" s="4" t="str" cm="1">
        <f t="array" ref="J205">_xlfn.SWITCH(B205,"T1","Tahun 1","T2","Tahun 2","T3","Tahun 3","T4","Tahun 4","T5","Tahun 5","T6","Tahun 6","TB1","Tingkatan 1","TB2","Tingkatan 2","TB3","Tingkatan 3","TA4","Tingkatan 4","TA5","Tingkatan 5")</f>
        <v>Tingkatan 5</v>
      </c>
      <c r="K205" s="4" t="b">
        <f>IF(COUNTIF(E205,"*DLP*"),TRUE)</f>
        <v>0</v>
      </c>
      <c r="L205" s="7" t="s">
        <v>130</v>
      </c>
    </row>
    <row r="206" spans="1:12" x14ac:dyDescent="0.3">
      <c r="A206" s="11" t="s">
        <v>8</v>
      </c>
      <c r="B206" s="13" t="s">
        <v>332</v>
      </c>
      <c r="C206" s="9">
        <f>C205+1</f>
        <v>20</v>
      </c>
      <c r="D206" s="14" t="str" cm="1">
        <f t="array" ref="D206">A206&amp;B206&amp;_xlfn.IFS(C206 &lt; 10,"B00"&amp;C206,AND(C206 &gt;= 10,C206 &lt; 100),"B0"&amp;C206,C206 &gt;= 100,"B"&amp;C206)</f>
        <v>SMTA5B020</v>
      </c>
      <c r="E206" s="13" t="s">
        <v>14</v>
      </c>
      <c r="F206" s="14" t="str">
        <f>SUBSTITUTE(E206,"DLP"," ")</f>
        <v xml:space="preserve">Mathematics  </v>
      </c>
      <c r="G206" s="13" t="s">
        <v>36</v>
      </c>
      <c r="H206" s="14" t="str" cm="1">
        <f t="array" ref="H206">_xlfn.IFS(G206 = "KSSR","Kokurikulum Standard Sekolah Rendah",G206 = "KSSM","Kokurikulum Standard Sekolah Menengah",G206 = "KBDKBT","Kokurikulum Bersepadu Dini dan Kokurikulum Bersepadu Tahfiz",G206 = "SSeM","Sekolah Seni Malaysia",G206 = "KC","Kesusasteraan Cina",G206 = "KSSMPK","Pendidikan Khas",G206 = "MPEI","Mata Pelajaran Elektif Ikhtisas",G206 = "MPET","Mata Pelajaran Elektif Teknikal",G206 = "MPV","Mata Pelajaran Vokasional",G206 = "MPAK","Mata Pelajaran Aliran Kebangsaan")</f>
        <v>Kokurikulum Standard Sekolah Menengah</v>
      </c>
      <c r="I206" s="13" t="str" cm="1">
        <f t="array" ref="I206">_xlfn.IFS(A206="SR","Sekolah Rendah",A206="SM","Sekolah Menengah")</f>
        <v>Sekolah Menengah</v>
      </c>
      <c r="J206" s="16" t="str" cm="1">
        <f t="array" ref="J206">_xlfn.SWITCH(B206,"T1","Tahun 1","T2","Tahun 2","T3","Tahun 3","T4","Tahun 4","T5","Tahun 5","T6","Tahun 6","TB1","Tingkatan 1","TB2","Tingkatan 2","TB3","Tingkatan 3","TA4","Tingkatan 4","TA5","Tingkatan 5")</f>
        <v>Tingkatan 5</v>
      </c>
      <c r="K206" s="13" t="b">
        <f>IF(COUNTIF(E206,"*DLP*"),TRUE)</f>
        <v>1</v>
      </c>
      <c r="L206" s="17" t="s">
        <v>130</v>
      </c>
    </row>
    <row r="207" spans="1:12" x14ac:dyDescent="0.3">
      <c r="A207" s="8" t="s">
        <v>8</v>
      </c>
      <c r="B207" s="9" t="str">
        <f>"TA5"</f>
        <v>TA5</v>
      </c>
      <c r="C207" s="9">
        <f>C206+1</f>
        <v>21</v>
      </c>
      <c r="D207" s="6" t="str" cm="1">
        <f t="array" ref="D207">A207&amp;B207&amp;_xlfn.IFS(C207 &lt; 10,"B00"&amp;C207,AND(C207 &gt;= 10,C207 &lt; 100),"B0"&amp;C207,C207 &gt;= 100,"B"&amp;C207)</f>
        <v>SMTA5B021</v>
      </c>
      <c r="E207" s="9" t="s">
        <v>66</v>
      </c>
      <c r="F207" s="6" t="str">
        <f>SUBSTITUTE(E207,"DLP"," ")</f>
        <v>Pendidikan Al-Quran dan Al-Sunnah</v>
      </c>
      <c r="G207" s="9" t="s">
        <v>36</v>
      </c>
      <c r="H207" s="6" t="str" cm="1">
        <f t="array" ref="H207">_xlfn.IFS(G207 = "KSSR","Kokurikulum Standard Sekolah Rendah",G207 = "KSSM","Kokurikulum Standard Sekolah Menengah",G207 = "KBDKBT","Kokurikulum Bersepadu Dini dan Kokurikulum Bersepadu Tahfiz",G207 = "SSeM","Sekolah Seni Malaysia",G207 = "KC","Kesusasteraan Cina",G207 = "KSSMPK","Pendidikan Khas",G207 = "MPEI","Mata Pelajaran Elektif Ikhtisas",G207 = "MPET","Mata Pelajaran Elektif Teknikal",G207 = "MPV","Mata Pelajaran Vokasional",G207 = "MPAK","Mata Pelajaran Aliran Kebangsaan")</f>
        <v>Kokurikulum Standard Sekolah Menengah</v>
      </c>
      <c r="I207" s="9" t="str" cm="1">
        <f t="array" ref="I207">_xlfn.IFS(A207="SR","Sekolah Rendah",A207="SM","Sekolah Menengah")</f>
        <v>Sekolah Menengah</v>
      </c>
      <c r="J207" s="9" t="str" cm="1">
        <f t="array" ref="J207">_xlfn.SWITCH(B207,"T1","Tahun 1","T2","Tahun 2","T3","Tahun 3","T4","Tahun 4","T5","Tahun 5","T6","Tahun 6","TB1","Tingkatan 1","TB2","Tingkatan 2","TB3","Tingkatan 3","TA4","Tingkatan 4","TA5","Tingkatan 5")</f>
        <v>Tingkatan 5</v>
      </c>
      <c r="K207" s="9" t="b">
        <f>IF(COUNTIF(E207,"*DLP*"),TRUE)</f>
        <v>0</v>
      </c>
      <c r="L207" s="10" t="s">
        <v>130</v>
      </c>
    </row>
    <row r="208" spans="1:12" x14ac:dyDescent="0.3">
      <c r="A208" s="3" t="s">
        <v>8</v>
      </c>
      <c r="B208" s="4" t="str">
        <f>"TA5"</f>
        <v>TA5</v>
      </c>
      <c r="C208" s="4">
        <f>C207+1</f>
        <v>22</v>
      </c>
      <c r="D208" s="5" t="str" cm="1">
        <f t="array" ref="D208">A208&amp;B208&amp;_xlfn.IFS(C208 &lt; 10,"B00"&amp;C208,AND(C208 &gt;= 10,C208 &lt; 100),"B0"&amp;C208,C208 &gt;= 100,"B"&amp;C208)</f>
        <v>SMTA5B022</v>
      </c>
      <c r="E208" s="4" t="s">
        <v>25</v>
      </c>
      <c r="F208" s="5" t="str">
        <f>SUBSTITUTE(E208,"DLP"," ")</f>
        <v>Pendidikan Islam</v>
      </c>
      <c r="G208" s="4" t="s">
        <v>36</v>
      </c>
      <c r="H208" s="5" t="str" cm="1">
        <f t="array" ref="H208">_xlfn.IFS(G208 = "KSSR","Kokurikulum Standard Sekolah Rendah",G208 = "KSSM","Kokurikulum Standard Sekolah Menengah",G208 = "KBDKBT","Kokurikulum Bersepadu Dini dan Kokurikulum Bersepadu Tahfiz",G208 = "SSeM","Sekolah Seni Malaysia",G208 = "KC","Kesusasteraan Cina",G208 = "KSSMPK","Pendidikan Khas",G208 = "MPEI","Mata Pelajaran Elektif Ikhtisas",G208 = "MPET","Mata Pelajaran Elektif Teknikal",G208 = "MPV","Mata Pelajaran Vokasional",G208 = "MPAK","Mata Pelajaran Aliran Kebangsaan")</f>
        <v>Kokurikulum Standard Sekolah Menengah</v>
      </c>
      <c r="I208" s="4" t="str" cm="1">
        <f t="array" ref="I208">_xlfn.IFS(A208="SR","Sekolah Rendah",A208="SM","Sekolah Menengah")</f>
        <v>Sekolah Menengah</v>
      </c>
      <c r="J208" s="4" t="str" cm="1">
        <f t="array" ref="J208">_xlfn.SWITCH(B208,"T1","Tahun 1","T2","Tahun 2","T3","Tahun 3","T4","Tahun 4","T5","Tahun 5","T6","Tahun 6","TB1","Tingkatan 1","TB2","Tingkatan 2","TB3","Tingkatan 3","TA4","Tingkatan 4","TA5","Tingkatan 5")</f>
        <v>Tingkatan 5</v>
      </c>
      <c r="K208" s="4" t="b">
        <f>IF(COUNTIF(E208,"*DLP*"),TRUE)</f>
        <v>0</v>
      </c>
      <c r="L208" s="7" t="s">
        <v>130</v>
      </c>
    </row>
    <row r="209" spans="1:12" x14ac:dyDescent="0.3">
      <c r="A209" s="8" t="s">
        <v>8</v>
      </c>
      <c r="B209" s="9" t="str">
        <f>"TA5"</f>
        <v>TA5</v>
      </c>
      <c r="C209" s="9">
        <f>C208+1</f>
        <v>23</v>
      </c>
      <c r="D209" s="6" t="str" cm="1">
        <f t="array" ref="D209">A209&amp;B209&amp;_xlfn.IFS(C209 &lt; 10,"B00"&amp;C209,AND(C209 &gt;= 10,C209 &lt; 100),"B0"&amp;C209,C209 &gt;= 100,"B"&amp;C209)</f>
        <v>SMTA5B023</v>
      </c>
      <c r="E209" s="9" t="s">
        <v>26</v>
      </c>
      <c r="F209" s="6" t="str">
        <f>SUBSTITUTE(E209,"DLP"," ")</f>
        <v>Pendidikan Jasmani dan Pendidikan Kesihatan</v>
      </c>
      <c r="G209" s="9" t="s">
        <v>36</v>
      </c>
      <c r="H209" s="6" t="str" cm="1">
        <f t="array" ref="H209">_xlfn.IFS(G209 = "KSSR","Kokurikulum Standard Sekolah Rendah",G209 = "KSSM","Kokurikulum Standard Sekolah Menengah",G209 = "KBDKBT","Kokurikulum Bersepadu Dini dan Kokurikulum Bersepadu Tahfiz",G209 = "SSeM","Sekolah Seni Malaysia",G209 = "KC","Kesusasteraan Cina",G209 = "KSSMPK","Pendidikan Khas",G209 = "MPEI","Mata Pelajaran Elektif Ikhtisas",G209 = "MPET","Mata Pelajaran Elektif Teknikal",G209 = "MPV","Mata Pelajaran Vokasional",G209 = "MPAK","Mata Pelajaran Aliran Kebangsaan")</f>
        <v>Kokurikulum Standard Sekolah Menengah</v>
      </c>
      <c r="I209" s="9" t="str" cm="1">
        <f t="array" ref="I209">_xlfn.IFS(A209="SR","Sekolah Rendah",A209="SM","Sekolah Menengah")</f>
        <v>Sekolah Menengah</v>
      </c>
      <c r="J209" s="9" t="str" cm="1">
        <f t="array" ref="J209">_xlfn.SWITCH(B209,"T1","Tahun 1","T2","Tahun 2","T3","Tahun 3","T4","Tahun 4","T5","Tahun 5","T6","Tahun 6","TB1","Tingkatan 1","TB2","Tingkatan 2","TB3","Tingkatan 3","TA4","Tingkatan 4","TA5","Tingkatan 5")</f>
        <v>Tingkatan 5</v>
      </c>
      <c r="K209" s="9" t="b">
        <f>IF(COUNTIF(E209,"*DLP*"),TRUE)</f>
        <v>0</v>
      </c>
      <c r="L209" s="10" t="s">
        <v>130</v>
      </c>
    </row>
    <row r="210" spans="1:12" x14ac:dyDescent="0.3">
      <c r="A210" s="3" t="s">
        <v>8</v>
      </c>
      <c r="B210" s="4" t="str">
        <f>"TA5"</f>
        <v>TA5</v>
      </c>
      <c r="C210" s="4">
        <f>C209+1</f>
        <v>24</v>
      </c>
      <c r="D210" s="5" t="str" cm="1">
        <f t="array" ref="D210">A210&amp;B210&amp;_xlfn.IFS(C210 &lt; 10,"B00"&amp;C210,AND(C210 &gt;= 10,C210 &lt; 100),"B0"&amp;C210,C210 &gt;= 100,"B"&amp;C210)</f>
        <v>SMTA5B024</v>
      </c>
      <c r="E210" s="4" t="s">
        <v>27</v>
      </c>
      <c r="F210" s="5" t="str">
        <f>SUBSTITUTE(E210,"DLP"," ")</f>
        <v>Pendidikan Moral</v>
      </c>
      <c r="G210" s="4" t="s">
        <v>36</v>
      </c>
      <c r="H210" s="5" t="str" cm="1">
        <f t="array" ref="H210">_xlfn.IFS(G210 = "KSSR","Kokurikulum Standard Sekolah Rendah",G210 = "KSSM","Kokurikulum Standard Sekolah Menengah",G210 = "KBDKBT","Kokurikulum Bersepadu Dini dan Kokurikulum Bersepadu Tahfiz",G210 = "SSeM","Sekolah Seni Malaysia",G210 = "KC","Kesusasteraan Cina",G210 = "KSSMPK","Pendidikan Khas",G210 = "MPEI","Mata Pelajaran Elektif Ikhtisas",G210 = "MPET","Mata Pelajaran Elektif Teknikal",G210 = "MPV","Mata Pelajaran Vokasional",G210 = "MPAK","Mata Pelajaran Aliran Kebangsaan")</f>
        <v>Kokurikulum Standard Sekolah Menengah</v>
      </c>
      <c r="I210" s="4" t="str" cm="1">
        <f t="array" ref="I210">_xlfn.IFS(A210="SR","Sekolah Rendah",A210="SM","Sekolah Menengah")</f>
        <v>Sekolah Menengah</v>
      </c>
      <c r="J210" s="4" t="str" cm="1">
        <f t="array" ref="J210">_xlfn.SWITCH(B210,"T1","Tahun 1","T2","Tahun 2","T3","Tahun 3","T4","Tahun 4","T5","Tahun 5","T6","Tahun 6","TB1","Tingkatan 1","TB2","Tingkatan 2","TB3","Tingkatan 3","TA4","Tingkatan 4","TA5","Tingkatan 5")</f>
        <v>Tingkatan 5</v>
      </c>
      <c r="K210" s="4" t="b">
        <f>IF(COUNTIF(E210,"*DLP*"),TRUE)</f>
        <v>0</v>
      </c>
      <c r="L210" s="7" t="s">
        <v>130</v>
      </c>
    </row>
    <row r="211" spans="1:12" x14ac:dyDescent="0.3">
      <c r="A211" s="8" t="s">
        <v>8</v>
      </c>
      <c r="B211" s="9" t="str">
        <f>"TA5"</f>
        <v>TA5</v>
      </c>
      <c r="C211" s="9">
        <f>C210+1</f>
        <v>25</v>
      </c>
      <c r="D211" s="6" t="str" cm="1">
        <f t="array" ref="D211">A211&amp;B211&amp;_xlfn.IFS(C211 &lt; 10,"B00"&amp;C211,AND(C211 &gt;= 10,C211 &lt; 100),"B0"&amp;C211,C211 &gt;= 100,"B"&amp;C211)</f>
        <v>SMTA5B025</v>
      </c>
      <c r="E211" s="9" t="s">
        <v>47</v>
      </c>
      <c r="F211" s="6" t="str">
        <f>SUBSTITUTE(E211,"DLP"," ")</f>
        <v>Pendidikan Muzik</v>
      </c>
      <c r="G211" s="9" t="s">
        <v>36</v>
      </c>
      <c r="H211" s="6" t="str" cm="1">
        <f t="array" ref="H211">_xlfn.IFS(G211 = "KSSR","Kokurikulum Standard Sekolah Rendah",G211 = "KSSM","Kokurikulum Standard Sekolah Menengah",G211 = "KBDKBT","Kokurikulum Bersepadu Dini dan Kokurikulum Bersepadu Tahfiz",G211 = "SSeM","Sekolah Seni Malaysia",G211 = "KC","Kesusasteraan Cina",G211 = "KSSMPK","Pendidikan Khas",G211 = "MPEI","Mata Pelajaran Elektif Ikhtisas",G211 = "MPET","Mata Pelajaran Elektif Teknikal",G211 = "MPV","Mata Pelajaran Vokasional",G211 = "MPAK","Mata Pelajaran Aliran Kebangsaan")</f>
        <v>Kokurikulum Standard Sekolah Menengah</v>
      </c>
      <c r="I211" s="9" t="str" cm="1">
        <f t="array" ref="I211">_xlfn.IFS(A211="SR","Sekolah Rendah",A211="SM","Sekolah Menengah")</f>
        <v>Sekolah Menengah</v>
      </c>
      <c r="J211" s="9" t="str" cm="1">
        <f t="array" ref="J211">_xlfn.SWITCH(B211,"T1","Tahun 1","T2","Tahun 2","T3","Tahun 3","T4","Tahun 4","T5","Tahun 5","T6","Tahun 6","TB1","Tingkatan 1","TB2","Tingkatan 2","TB3","Tingkatan 3","TA4","Tingkatan 4","TA5","Tingkatan 5")</f>
        <v>Tingkatan 5</v>
      </c>
      <c r="K211" s="9" t="b">
        <f>IF(COUNTIF(E211,"*DLP*"),TRUE)</f>
        <v>0</v>
      </c>
      <c r="L211" s="10" t="s">
        <v>130</v>
      </c>
    </row>
    <row r="212" spans="1:12" x14ac:dyDescent="0.3">
      <c r="A212" s="3" t="s">
        <v>8</v>
      </c>
      <c r="B212" s="4" t="str">
        <f>"TA5"</f>
        <v>TA5</v>
      </c>
      <c r="C212" s="4">
        <f>C211+1</f>
        <v>26</v>
      </c>
      <c r="D212" s="5" t="str" cm="1">
        <f t="array" ref="D212">A212&amp;B212&amp;_xlfn.IFS(C212 &lt; 10,"B00"&amp;C212,AND(C212 &gt;= 10,C212 &lt; 100),"B0"&amp;C212,C212 &gt;= 100,"B"&amp;C212)</f>
        <v>SMTA5B026</v>
      </c>
      <c r="E212" s="4" t="s">
        <v>24</v>
      </c>
      <c r="F212" s="5" t="str">
        <f>SUBSTITUTE(E212,"DLP"," ")</f>
        <v>Pendidikan Seni Visual</v>
      </c>
      <c r="G212" s="4" t="s">
        <v>36</v>
      </c>
      <c r="H212" s="5" t="str" cm="1">
        <f t="array" ref="H212">_xlfn.IFS(G212 = "KSSR","Kokurikulum Standard Sekolah Rendah",G212 = "KSSM","Kokurikulum Standard Sekolah Menengah",G212 = "KBDKBT","Kokurikulum Bersepadu Dini dan Kokurikulum Bersepadu Tahfiz",G212 = "SSeM","Sekolah Seni Malaysia",G212 = "KC","Kesusasteraan Cina",G212 = "KSSMPK","Pendidikan Khas",G212 = "MPEI","Mata Pelajaran Elektif Ikhtisas",G212 = "MPET","Mata Pelajaran Elektif Teknikal",G212 = "MPV","Mata Pelajaran Vokasional",G212 = "MPAK","Mata Pelajaran Aliran Kebangsaan")</f>
        <v>Kokurikulum Standard Sekolah Menengah</v>
      </c>
      <c r="I212" s="4" t="str" cm="1">
        <f t="array" ref="I212">_xlfn.IFS(A212="SR","Sekolah Rendah",A212="SM","Sekolah Menengah")</f>
        <v>Sekolah Menengah</v>
      </c>
      <c r="J212" s="4" t="str" cm="1">
        <f t="array" ref="J212">_xlfn.SWITCH(B212,"T1","Tahun 1","T2","Tahun 2","T3","Tahun 3","T4","Tahun 4","T5","Tahun 5","T6","Tahun 6","TB1","Tingkatan 1","TB2","Tingkatan 2","TB3","Tingkatan 3","TA4","Tingkatan 4","TA5","Tingkatan 5")</f>
        <v>Tingkatan 5</v>
      </c>
      <c r="K212" s="4" t="b">
        <f>IF(COUNTIF(E212,"*DLP*"),TRUE)</f>
        <v>0</v>
      </c>
      <c r="L212" s="7" t="s">
        <v>130</v>
      </c>
    </row>
    <row r="213" spans="1:12" x14ac:dyDescent="0.3">
      <c r="A213" s="8" t="s">
        <v>8</v>
      </c>
      <c r="B213" s="9" t="str">
        <f>"TA5"</f>
        <v>TA5</v>
      </c>
      <c r="C213" s="9">
        <f>C212+1</f>
        <v>27</v>
      </c>
      <c r="D213" s="6" t="str" cm="1">
        <f t="array" ref="D213">A213&amp;B213&amp;_xlfn.IFS(C213 &lt; 10,"B00"&amp;C213,AND(C213 &gt;= 10,C213 &lt; 100),"B0"&amp;C213,C213 &gt;= 100,"B"&amp;C213)</f>
        <v>SMTA5B027</v>
      </c>
      <c r="E213" s="9" t="s">
        <v>65</v>
      </c>
      <c r="F213" s="6" t="str">
        <f>SUBSTITUTE(E213,"DLP"," ")</f>
        <v>Pendidikan Syariah Islamiyah</v>
      </c>
      <c r="G213" s="9" t="s">
        <v>36</v>
      </c>
      <c r="H213" s="6" t="str" cm="1">
        <f t="array" ref="H213">_xlfn.IFS(G213 = "KSSR","Kokurikulum Standard Sekolah Rendah",G213 = "KSSM","Kokurikulum Standard Sekolah Menengah",G213 = "KBDKBT","Kokurikulum Bersepadu Dini dan Kokurikulum Bersepadu Tahfiz",G213 = "SSeM","Sekolah Seni Malaysia",G213 = "KC","Kesusasteraan Cina",G213 = "KSSMPK","Pendidikan Khas",G213 = "MPEI","Mata Pelajaran Elektif Ikhtisas",G213 = "MPET","Mata Pelajaran Elektif Teknikal",G213 = "MPV","Mata Pelajaran Vokasional",G213 = "MPAK","Mata Pelajaran Aliran Kebangsaan")</f>
        <v>Kokurikulum Standard Sekolah Menengah</v>
      </c>
      <c r="I213" s="9" t="str" cm="1">
        <f t="array" ref="I213">_xlfn.IFS(A213="SR","Sekolah Rendah",A213="SM","Sekolah Menengah")</f>
        <v>Sekolah Menengah</v>
      </c>
      <c r="J213" s="9" t="str" cm="1">
        <f t="array" ref="J213">_xlfn.SWITCH(B213,"T1","Tahun 1","T2","Tahun 2","T3","Tahun 3","T4","Tahun 4","T5","Tahun 5","T6","Tahun 6","TB1","Tingkatan 1","TB2","Tingkatan 2","TB3","Tingkatan 3","TA4","Tingkatan 4","TA5","Tingkatan 5")</f>
        <v>Tingkatan 5</v>
      </c>
      <c r="K213" s="9" t="b">
        <f>IF(COUNTIF(E213,"*DLP*"),TRUE)</f>
        <v>0</v>
      </c>
      <c r="L213" s="10" t="s">
        <v>130</v>
      </c>
    </row>
    <row r="214" spans="1:12" x14ac:dyDescent="0.3">
      <c r="A214" s="3" t="s">
        <v>8</v>
      </c>
      <c r="B214" s="4" t="str">
        <f>"TA5"</f>
        <v>TA5</v>
      </c>
      <c r="C214" s="4">
        <f>C213+1</f>
        <v>28</v>
      </c>
      <c r="D214" s="5" t="str" cm="1">
        <f t="array" ref="D214">A214&amp;B214&amp;_xlfn.IFS(C214 &lt; 10,"B00"&amp;C214,AND(C214 &gt;= 10,C214 &lt; 100),"B0"&amp;C214,C214 &gt;= 100,"B"&amp;C214)</f>
        <v>SMTA5B028</v>
      </c>
      <c r="E214" s="4" t="s">
        <v>63</v>
      </c>
      <c r="F214" s="5" t="str">
        <f>SUBSTITUTE(E214,"DLP"," ")</f>
        <v xml:space="preserve">Physics  </v>
      </c>
      <c r="G214" s="4" t="s">
        <v>36</v>
      </c>
      <c r="H214" s="5" t="str" cm="1">
        <f t="array" ref="H214">_xlfn.IFS(G214 = "KSSR","Kokurikulum Standard Sekolah Rendah",G214 = "KSSM","Kokurikulum Standard Sekolah Menengah",G214 = "KBDKBT","Kokurikulum Bersepadu Dini dan Kokurikulum Bersepadu Tahfiz",G214 = "SSeM","Sekolah Seni Malaysia",G214 = "KC","Kesusasteraan Cina",G214 = "KSSMPK","Pendidikan Khas",G214 = "MPEI","Mata Pelajaran Elektif Ikhtisas",G214 = "MPET","Mata Pelajaran Elektif Teknikal",G214 = "MPV","Mata Pelajaran Vokasional",G214 = "MPAK","Mata Pelajaran Aliran Kebangsaan")</f>
        <v>Kokurikulum Standard Sekolah Menengah</v>
      </c>
      <c r="I214" s="4" t="str" cm="1">
        <f t="array" ref="I214">_xlfn.IFS(A214="SR","Sekolah Rendah",A214="SM","Sekolah Menengah")</f>
        <v>Sekolah Menengah</v>
      </c>
      <c r="J214" s="4" t="str" cm="1">
        <f t="array" ref="J214">_xlfn.SWITCH(B214,"T1","Tahun 1","T2","Tahun 2","T3","Tahun 3","T4","Tahun 4","T5","Tahun 5","T6","Tahun 6","TB1","Tingkatan 1","TB2","Tingkatan 2","TB3","Tingkatan 3","TA4","Tingkatan 4","TA5","Tingkatan 5")</f>
        <v>Tingkatan 5</v>
      </c>
      <c r="K214" s="4" t="b">
        <f>IF(COUNTIF(E214,"*DLP*"),TRUE)</f>
        <v>1</v>
      </c>
      <c r="L214" s="7" t="s">
        <v>130</v>
      </c>
    </row>
    <row r="215" spans="1:12" x14ac:dyDescent="0.3">
      <c r="A215" s="8" t="s">
        <v>8</v>
      </c>
      <c r="B215" s="9" t="str">
        <f>"TA5"</f>
        <v>TA5</v>
      </c>
      <c r="C215" s="9">
        <f>C214+1</f>
        <v>29</v>
      </c>
      <c r="D215" s="6" t="str" cm="1">
        <f t="array" ref="D215">A215&amp;B215&amp;_xlfn.IFS(C215 &lt; 10,"B00"&amp;C215,AND(C215 &gt;= 10,C215 &lt; 100),"B0"&amp;C215,C215 &gt;= 100,"B"&amp;C215)</f>
        <v>SMTA5B029</v>
      </c>
      <c r="E215" s="9" t="s">
        <v>13</v>
      </c>
      <c r="F215" s="6" t="str">
        <f>SUBSTITUTE(E215,"DLP"," ")</f>
        <v>Sains</v>
      </c>
      <c r="G215" s="9" t="s">
        <v>36</v>
      </c>
      <c r="H215" s="6" t="str" cm="1">
        <f t="array" ref="H215">_xlfn.IFS(G215 = "KSSR","Kokurikulum Standard Sekolah Rendah",G215 = "KSSM","Kokurikulum Standard Sekolah Menengah",G215 = "KBDKBT","Kokurikulum Bersepadu Dini dan Kokurikulum Bersepadu Tahfiz",G215 = "SSeM","Sekolah Seni Malaysia",G215 = "KC","Kesusasteraan Cina",G215 = "KSSMPK","Pendidikan Khas",G215 = "MPEI","Mata Pelajaran Elektif Ikhtisas",G215 = "MPET","Mata Pelajaran Elektif Teknikal",G215 = "MPV","Mata Pelajaran Vokasional",G215 = "MPAK","Mata Pelajaran Aliran Kebangsaan")</f>
        <v>Kokurikulum Standard Sekolah Menengah</v>
      </c>
      <c r="I215" s="9" t="str" cm="1">
        <f t="array" ref="I215">_xlfn.IFS(A215="SR","Sekolah Rendah",A215="SM","Sekolah Menengah")</f>
        <v>Sekolah Menengah</v>
      </c>
      <c r="J215" s="9" t="str" cm="1">
        <f t="array" ref="J215">_xlfn.SWITCH(B215,"T1","Tahun 1","T2","Tahun 2","T3","Tahun 3","T4","Tahun 4","T5","Tahun 5","T6","Tahun 6","TB1","Tingkatan 1","TB2","Tingkatan 2","TB3","Tingkatan 3","TA4","Tingkatan 4","TA5","Tingkatan 5")</f>
        <v>Tingkatan 5</v>
      </c>
      <c r="K215" s="9" t="b">
        <f>IF(COUNTIF(E215,"*DLP*"),TRUE)</f>
        <v>0</v>
      </c>
      <c r="L215" s="10" t="s">
        <v>130</v>
      </c>
    </row>
    <row r="216" spans="1:12" x14ac:dyDescent="0.3">
      <c r="A216" s="3" t="s">
        <v>8</v>
      </c>
      <c r="B216" s="4" t="str">
        <f>"TA5"</f>
        <v>TA5</v>
      </c>
      <c r="C216" s="4">
        <f>C215+1</f>
        <v>30</v>
      </c>
      <c r="D216" s="5" t="str" cm="1">
        <f t="array" ref="D216">A216&amp;B216&amp;_xlfn.IFS(C216 &lt; 10,"B00"&amp;C216,AND(C216 &gt;= 10,C216 &lt; 100),"B0"&amp;C216,C216 &gt;= 100,"B"&amp;C216)</f>
        <v>SMTA5B030</v>
      </c>
      <c r="E216" s="4" t="s">
        <v>72</v>
      </c>
      <c r="F216" s="5" t="str">
        <f>SUBSTITUTE(E216,"DLP"," ")</f>
        <v>Sains Tambahan</v>
      </c>
      <c r="G216" s="4" t="s">
        <v>36</v>
      </c>
      <c r="H216" s="5" t="str" cm="1">
        <f t="array" ref="H216">_xlfn.IFS(G216 = "KSSR","Kokurikulum Standard Sekolah Rendah",G216 = "KSSM","Kokurikulum Standard Sekolah Menengah",G216 = "KBDKBT","Kokurikulum Bersepadu Dini dan Kokurikulum Bersepadu Tahfiz",G216 = "SSeM","Sekolah Seni Malaysia",G216 = "KC","Kesusasteraan Cina",G216 = "KSSMPK","Pendidikan Khas",G216 = "MPEI","Mata Pelajaran Elektif Ikhtisas",G216 = "MPET","Mata Pelajaran Elektif Teknikal",G216 = "MPV","Mata Pelajaran Vokasional",G216 = "MPAK","Mata Pelajaran Aliran Kebangsaan")</f>
        <v>Kokurikulum Standard Sekolah Menengah</v>
      </c>
      <c r="I216" s="4" t="str" cm="1">
        <f t="array" ref="I216">_xlfn.IFS(A216="SR","Sekolah Rendah",A216="SM","Sekolah Menengah")</f>
        <v>Sekolah Menengah</v>
      </c>
      <c r="J216" s="4" t="str" cm="1">
        <f t="array" ref="J216">_xlfn.SWITCH(B216,"T1","Tahun 1","T2","Tahun 2","T3","Tahun 3","T4","Tahun 4","T5","Tahun 5","T6","Tahun 6","TB1","Tingkatan 1","TB2","Tingkatan 2","TB3","Tingkatan 3","TA4","Tingkatan 4","TA5","Tingkatan 5")</f>
        <v>Tingkatan 5</v>
      </c>
      <c r="K216" s="4" t="b">
        <f>IF(COUNTIF(E216,"*DLP*"),TRUE)</f>
        <v>0</v>
      </c>
      <c r="L216" s="7" t="s">
        <v>130</v>
      </c>
    </row>
    <row r="217" spans="1:12" x14ac:dyDescent="0.3">
      <c r="A217" s="8" t="s">
        <v>8</v>
      </c>
      <c r="B217" s="9" t="str">
        <f>"TA5"</f>
        <v>TA5</v>
      </c>
      <c r="C217" s="9">
        <f>C216+1</f>
        <v>31</v>
      </c>
      <c r="D217" s="6" t="str" cm="1">
        <f t="array" ref="D217">A217&amp;B217&amp;_xlfn.IFS(C217 &lt; 10,"B00"&amp;C217,AND(C217 &gt;= 10,C217 &lt; 100),"B0"&amp;C217,C217 &gt;= 100,"B"&amp;C217)</f>
        <v>SMTA5B031</v>
      </c>
      <c r="E217" s="9" t="s">
        <v>16</v>
      </c>
      <c r="F217" s="6" t="str">
        <f>SUBSTITUTE(E217,"DLP"," ")</f>
        <v xml:space="preserve">Science  </v>
      </c>
      <c r="G217" s="9" t="s">
        <v>36</v>
      </c>
      <c r="H217" s="6" t="str" cm="1">
        <f t="array" ref="H217">_xlfn.IFS(G217 = "KSSR","Kokurikulum Standard Sekolah Rendah",G217 = "KSSM","Kokurikulum Standard Sekolah Menengah",G217 = "KBDKBT","Kokurikulum Bersepadu Dini dan Kokurikulum Bersepadu Tahfiz",G217 = "SSeM","Sekolah Seni Malaysia",G217 = "KC","Kesusasteraan Cina",G217 = "KSSMPK","Pendidikan Khas",G217 = "MPEI","Mata Pelajaran Elektif Ikhtisas",G217 = "MPET","Mata Pelajaran Elektif Teknikal",G217 = "MPV","Mata Pelajaran Vokasional",G217 = "MPAK","Mata Pelajaran Aliran Kebangsaan")</f>
        <v>Kokurikulum Standard Sekolah Menengah</v>
      </c>
      <c r="I217" s="9" t="str" cm="1">
        <f t="array" ref="I217">_xlfn.IFS(A217="SR","Sekolah Rendah",A217="SM","Sekolah Menengah")</f>
        <v>Sekolah Menengah</v>
      </c>
      <c r="J217" s="9" t="str" cm="1">
        <f t="array" ref="J217">_xlfn.SWITCH(B217,"T1","Tahun 1","T2","Tahun 2","T3","Tahun 3","T4","Tahun 4","T5","Tahun 5","T6","Tahun 6","TB1","Tingkatan 1","TB2","Tingkatan 2","TB3","Tingkatan 3","TA4","Tingkatan 4","TA5","Tingkatan 5")</f>
        <v>Tingkatan 5</v>
      </c>
      <c r="K217" s="9" t="b">
        <f>IF(COUNTIF(E217,"*DLP*"),TRUE)</f>
        <v>1</v>
      </c>
      <c r="L217" s="10" t="s">
        <v>130</v>
      </c>
    </row>
    <row r="218" spans="1:12" x14ac:dyDescent="0.3">
      <c r="A218" s="3" t="s">
        <v>8</v>
      </c>
      <c r="B218" s="4" t="str">
        <f>"TA5"</f>
        <v>TA5</v>
      </c>
      <c r="C218" s="4">
        <f>C217+1</f>
        <v>32</v>
      </c>
      <c r="D218" s="5" t="str" cm="1">
        <f t="array" ref="D218">A218&amp;B218&amp;_xlfn.IFS(C218 &lt; 10,"B00"&amp;C218,AND(C218 &gt;= 10,C218 &lt; 100),"B0"&amp;C218,C218 &gt;= 100,"B"&amp;C218)</f>
        <v>SMTA5B032</v>
      </c>
      <c r="E218" s="4" t="s">
        <v>18</v>
      </c>
      <c r="F218" s="5" t="str">
        <f>SUBSTITUTE(E218,"DLP"," ")</f>
        <v>Sejarah</v>
      </c>
      <c r="G218" s="4" t="s">
        <v>36</v>
      </c>
      <c r="H218" s="5" t="str" cm="1">
        <f t="array" ref="H218">_xlfn.IFS(G218 = "KSSR","Kokurikulum Standard Sekolah Rendah",G218 = "KSSM","Kokurikulum Standard Sekolah Menengah",G218 = "KBDKBT","Kokurikulum Bersepadu Dini dan Kokurikulum Bersepadu Tahfiz",G218 = "SSeM","Sekolah Seni Malaysia",G218 = "KC","Kesusasteraan Cina",G218 = "KSSMPK","Pendidikan Khas",G218 = "MPEI","Mata Pelajaran Elektif Ikhtisas",G218 = "MPET","Mata Pelajaran Elektif Teknikal",G218 = "MPV","Mata Pelajaran Vokasional",G218 = "MPAK","Mata Pelajaran Aliran Kebangsaan")</f>
        <v>Kokurikulum Standard Sekolah Menengah</v>
      </c>
      <c r="I218" s="4" t="str" cm="1">
        <f t="array" ref="I218">_xlfn.IFS(A218="SR","Sekolah Rendah",A218="SM","Sekolah Menengah")</f>
        <v>Sekolah Menengah</v>
      </c>
      <c r="J218" s="4" t="str" cm="1">
        <f t="array" ref="J218">_xlfn.SWITCH(B218,"T1","Tahun 1","T2","Tahun 2","T3","Tahun 3","T4","Tahun 4","T5","Tahun 5","T6","Tahun 6","TB1","Tingkatan 1","TB2","Tingkatan 2","TB3","Tingkatan 3","TA4","Tingkatan 4","TA5","Tingkatan 5")</f>
        <v>Tingkatan 5</v>
      </c>
      <c r="K218" s="4" t="b">
        <f>IF(COUNTIF(E218,"*DLP*"),TRUE)</f>
        <v>0</v>
      </c>
      <c r="L218" s="7" t="s">
        <v>130</v>
      </c>
    </row>
    <row r="219" spans="1:12" x14ac:dyDescent="0.3">
      <c r="A219" s="8" t="s">
        <v>8</v>
      </c>
      <c r="B219" s="9" t="str">
        <f>"TA5"</f>
        <v>TA5</v>
      </c>
      <c r="C219" s="9">
        <f>C218+1</f>
        <v>33</v>
      </c>
      <c r="D219" s="6" t="str" cm="1">
        <f t="array" ref="D219">A219&amp;B219&amp;_xlfn.IFS(C219 &lt; 10,"B00"&amp;C219,AND(C219 &gt;= 10,C219 &lt; 100),"B0"&amp;C219,C219 &gt;= 100,"B"&amp;C219)</f>
        <v>SMTA5B033</v>
      </c>
      <c r="E219" s="9" t="s">
        <v>77</v>
      </c>
      <c r="F219" s="6" t="str">
        <f>SUBSTITUTE(E219,"DLP"," ")</f>
        <v>Tasawwur Islam</v>
      </c>
      <c r="G219" s="9" t="s">
        <v>36</v>
      </c>
      <c r="H219" s="6" t="str" cm="1">
        <f t="array" ref="H219">_xlfn.IFS(G219 = "KSSR","Kokurikulum Standard Sekolah Rendah",G219 = "KSSM","Kokurikulum Standard Sekolah Menengah",G219 = "KBDKBT","Kokurikulum Bersepadu Dini dan Kokurikulum Bersepadu Tahfiz",G219 = "SSeM","Sekolah Seni Malaysia",G219 = "KC","Kesusasteraan Cina",G219 = "KSSMPK","Pendidikan Khas",G219 = "MPEI","Mata Pelajaran Elektif Ikhtisas",G219 = "MPET","Mata Pelajaran Elektif Teknikal",G219 = "MPV","Mata Pelajaran Vokasional",G219 = "MPAK","Mata Pelajaran Aliran Kebangsaan")</f>
        <v>Kokurikulum Standard Sekolah Menengah</v>
      </c>
      <c r="I219" s="9" t="str" cm="1">
        <f t="array" ref="I219">_xlfn.IFS(A219="SR","Sekolah Rendah",A219="SM","Sekolah Menengah")</f>
        <v>Sekolah Menengah</v>
      </c>
      <c r="J219" s="9" t="str" cm="1">
        <f t="array" ref="J219">_xlfn.SWITCH(B219,"T1","Tahun 1","T2","Tahun 2","T3","Tahun 3","T4","Tahun 4","T5","Tahun 5","T6","Tahun 6","TB1","Tingkatan 1","TB2","Tingkatan 2","TB3","Tingkatan 3","TA4","Tingkatan 4","TA5","Tingkatan 5")</f>
        <v>Tingkatan 5</v>
      </c>
      <c r="K219" s="9" t="b">
        <f>IF(COUNTIF(E219,"*DLP*"),TRUE)</f>
        <v>0</v>
      </c>
      <c r="L219" s="10" t="s">
        <v>130</v>
      </c>
    </row>
    <row r="220" spans="1:12" x14ac:dyDescent="0.3">
      <c r="A220" s="3" t="s">
        <v>8</v>
      </c>
      <c r="B220" s="4" t="str">
        <f>"TA5"</f>
        <v>TA5</v>
      </c>
      <c r="C220" s="4">
        <f>C219+1</f>
        <v>34</v>
      </c>
      <c r="D220" s="5" t="str" cm="1">
        <f t="array" ref="D220">A220&amp;B220&amp;_xlfn.IFS(C220 &lt; 10,"B00"&amp;C220,AND(C220 &gt;= 10,C220 &lt; 100),"B0"&amp;C220,C220 &gt;= 100,"B"&amp;C220)</f>
        <v>SMTA5B034</v>
      </c>
      <c r="E220" s="4" t="s">
        <v>81</v>
      </c>
      <c r="F220" s="5" t="str">
        <f>SUBSTITUTE(E220,"DLP"," ")</f>
        <v>Asas Kelestarian</v>
      </c>
      <c r="G220" s="4" t="s">
        <v>124</v>
      </c>
      <c r="H220" s="5" t="str" cm="1">
        <f t="array" ref="H220">_xlfn.IFS(G220 = "KSSR","Kokurikulum Standard Sekolah Rendah",G220 = "KSSM","Kokurikulum Standard Sekolah Menengah",G220 = "KBDKBT","Kokurikulum Bersepadu Dini dan Kokurikulum Bersepadu Tahfiz",G220 = "SSeM","Sekolah Seni Malaysia",G220 = "KC","Kesusasteraan Cina",G220 = "KSSMPK","Pendidikan Khas",G220 = "MPEI","Mata Pelajaran Elektif Ikhtisas",G220 = "MPET","Mata Pelajaran Elektif Teknikal",G220 = "MPV","Mata Pelajaran Vokasional",G220 = "MPAK","Mata Pelajaran Aliran Kebangsaan")</f>
        <v>Mata Pelajaran Elektif Ikhtisas</v>
      </c>
      <c r="I220" s="4" t="str" cm="1">
        <f t="array" ref="I220">_xlfn.IFS(A220="SR","Sekolah Rendah",A220="SM","Sekolah Menengah")</f>
        <v>Sekolah Menengah</v>
      </c>
      <c r="J220" s="4" t="str" cm="1">
        <f t="array" ref="J220">_xlfn.SWITCH(B220,"T1","Tahun 1","T2","Tahun 2","T3","Tahun 3","T4","Tahun 4","T5","Tahun 5","T6","Tahun 6","TB1","Tingkatan 1","TB2","Tingkatan 2","TB3","Tingkatan 3","TA4","Tingkatan 4","TA5","Tingkatan 5")</f>
        <v>Tingkatan 5</v>
      </c>
      <c r="K220" s="4" t="b">
        <f>IF(COUNTIF(E220,"*DLP*"),TRUE)</f>
        <v>0</v>
      </c>
      <c r="L220" s="7" t="s">
        <v>130</v>
      </c>
    </row>
    <row r="221" spans="1:12" x14ac:dyDescent="0.3">
      <c r="A221" s="8" t="s">
        <v>8</v>
      </c>
      <c r="B221" s="9" t="str">
        <f>"TA5"</f>
        <v>TA5</v>
      </c>
      <c r="C221" s="9">
        <f>C220+1</f>
        <v>35</v>
      </c>
      <c r="D221" s="6" t="str" cm="1">
        <f t="array" ref="D221">A221&amp;B221&amp;_xlfn.IFS(C221 &lt; 10,"B00"&amp;C221,AND(C221 &gt;= 10,C221 &lt; 100),"B0"&amp;C221,C221 &gt;= 100,"B"&amp;C221)</f>
        <v>SMTA5B035</v>
      </c>
      <c r="E221" s="9" t="s">
        <v>68</v>
      </c>
      <c r="F221" s="6" t="str">
        <f>SUBSTITUTE(E221,"DLP"," ")</f>
        <v>Ekonomi</v>
      </c>
      <c r="G221" s="9" t="s">
        <v>124</v>
      </c>
      <c r="H221" s="6" t="str" cm="1">
        <f t="array" ref="H221">_xlfn.IFS(G221 = "KSSR","Kokurikulum Standard Sekolah Rendah",G221 = "KSSM","Kokurikulum Standard Sekolah Menengah",G221 = "KBDKBT","Kokurikulum Bersepadu Dini dan Kokurikulum Bersepadu Tahfiz",G221 = "SSeM","Sekolah Seni Malaysia",G221 = "KC","Kesusasteraan Cina",G221 = "KSSMPK","Pendidikan Khas",G221 = "MPEI","Mata Pelajaran Elektif Ikhtisas",G221 = "MPET","Mata Pelajaran Elektif Teknikal",G221 = "MPV","Mata Pelajaran Vokasional",G221 = "MPAK","Mata Pelajaran Aliran Kebangsaan")</f>
        <v>Mata Pelajaran Elektif Ikhtisas</v>
      </c>
      <c r="I221" s="9" t="str" cm="1">
        <f t="array" ref="I221">_xlfn.IFS(A221="SR","Sekolah Rendah",A221="SM","Sekolah Menengah")</f>
        <v>Sekolah Menengah</v>
      </c>
      <c r="J221" s="9" t="str" cm="1">
        <f t="array" ref="J221">_xlfn.SWITCH(B221,"T1","Tahun 1","T2","Tahun 2","T3","Tahun 3","T4","Tahun 4","T5","Tahun 5","T6","Tahun 6","TB1","Tingkatan 1","TB2","Tingkatan 2","TB3","Tingkatan 3","TA4","Tingkatan 4","TA5","Tingkatan 5")</f>
        <v>Tingkatan 5</v>
      </c>
      <c r="K221" s="9" t="b">
        <f>IF(COUNTIF(E221,"*DLP*"),TRUE)</f>
        <v>0</v>
      </c>
      <c r="L221" s="10" t="s">
        <v>130</v>
      </c>
    </row>
    <row r="222" spans="1:12" x14ac:dyDescent="0.3">
      <c r="A222" s="3" t="s">
        <v>8</v>
      </c>
      <c r="B222" s="4" t="str">
        <f>"TA5"</f>
        <v>TA5</v>
      </c>
      <c r="C222" s="4">
        <f>C221+1</f>
        <v>36</v>
      </c>
      <c r="D222" s="5" t="str" cm="1">
        <f t="array" ref="D222">A222&amp;B222&amp;_xlfn.IFS(C222 &lt; 10,"B00"&amp;C222,AND(C222 &gt;= 10,C222 &lt; 100),"B0"&amp;C222,C222 &gt;= 100,"B"&amp;C222)</f>
        <v>SMTA5B036</v>
      </c>
      <c r="E222" s="4" t="s">
        <v>82</v>
      </c>
      <c r="F222" s="5" t="str">
        <f>SUBSTITUTE(E222,"DLP"," ")</f>
        <v>Grafik Komunikasi Teknikal</v>
      </c>
      <c r="G222" s="4" t="s">
        <v>124</v>
      </c>
      <c r="H222" s="5" t="str" cm="1">
        <f t="array" ref="H222">_xlfn.IFS(G222 = "KSSR","Kokurikulum Standard Sekolah Rendah",G222 = "KSSM","Kokurikulum Standard Sekolah Menengah",G222 = "KBDKBT","Kokurikulum Bersepadu Dini dan Kokurikulum Bersepadu Tahfiz",G222 = "SSeM","Sekolah Seni Malaysia",G222 = "KC","Kesusasteraan Cina",G222 = "KSSMPK","Pendidikan Khas",G222 = "MPEI","Mata Pelajaran Elektif Ikhtisas",G222 = "MPET","Mata Pelajaran Elektif Teknikal",G222 = "MPV","Mata Pelajaran Vokasional",G222 = "MPAK","Mata Pelajaran Aliran Kebangsaan")</f>
        <v>Mata Pelajaran Elektif Ikhtisas</v>
      </c>
      <c r="I222" s="4" t="str" cm="1">
        <f t="array" ref="I222">_xlfn.IFS(A222="SR","Sekolah Rendah",A222="SM","Sekolah Menengah")</f>
        <v>Sekolah Menengah</v>
      </c>
      <c r="J222" s="4" t="str" cm="1">
        <f t="array" ref="J222">_xlfn.SWITCH(B222,"T1","Tahun 1","T2","Tahun 2","T3","Tahun 3","T4","Tahun 4","T5","Tahun 5","T6","Tahun 6","TB1","Tingkatan 1","TB2","Tingkatan 2","TB3","Tingkatan 3","TA4","Tingkatan 4","TA5","Tingkatan 5")</f>
        <v>Tingkatan 5</v>
      </c>
      <c r="K222" s="4" t="b">
        <f>IF(COUNTIF(E222,"*DLP*"),TRUE)</f>
        <v>0</v>
      </c>
      <c r="L222" s="7" t="s">
        <v>130</v>
      </c>
    </row>
    <row r="223" spans="1:12" x14ac:dyDescent="0.3">
      <c r="A223" s="8" t="s">
        <v>8</v>
      </c>
      <c r="B223" s="9" t="str">
        <f>"TA5"</f>
        <v>TA5</v>
      </c>
      <c r="C223" s="9">
        <f>C222+1</f>
        <v>37</v>
      </c>
      <c r="D223" s="6" t="str" cm="1">
        <f t="array" ref="D223">A223&amp;B223&amp;_xlfn.IFS(C223 &lt; 10,"B00"&amp;C223,AND(C223 &gt;= 10,C223 &lt; 100),"B0"&amp;C223,C223 &gt;= 100,"B"&amp;C223)</f>
        <v>SMTA5B037</v>
      </c>
      <c r="E223" s="9" t="s">
        <v>67</v>
      </c>
      <c r="F223" s="6" t="str">
        <f>SUBSTITUTE(E223,"DLP"," ")</f>
        <v>Perniagaan</v>
      </c>
      <c r="G223" s="9" t="s">
        <v>124</v>
      </c>
      <c r="H223" s="6" t="str" cm="1">
        <f t="array" ref="H223">_xlfn.IFS(G223 = "KSSR","Kokurikulum Standard Sekolah Rendah",G223 = "KSSM","Kokurikulum Standard Sekolah Menengah",G223 = "KBDKBT","Kokurikulum Bersepadu Dini dan Kokurikulum Bersepadu Tahfiz",G223 = "SSeM","Sekolah Seni Malaysia",G223 = "KC","Kesusasteraan Cina",G223 = "KSSMPK","Pendidikan Khas",G223 = "MPEI","Mata Pelajaran Elektif Ikhtisas",G223 = "MPET","Mata Pelajaran Elektif Teknikal",G223 = "MPV","Mata Pelajaran Vokasional",G223 = "MPAK","Mata Pelajaran Aliran Kebangsaan")</f>
        <v>Mata Pelajaran Elektif Ikhtisas</v>
      </c>
      <c r="I223" s="9" t="str" cm="1">
        <f t="array" ref="I223">_xlfn.IFS(A223="SR","Sekolah Rendah",A223="SM","Sekolah Menengah")</f>
        <v>Sekolah Menengah</v>
      </c>
      <c r="J223" s="9" t="str" cm="1">
        <f t="array" ref="J223">_xlfn.SWITCH(B223,"T1","Tahun 1","T2","Tahun 2","T3","Tahun 3","T4","Tahun 4","T5","Tahun 5","T6","Tahun 6","TB1","Tingkatan 1","TB2","Tingkatan 2","TB3","Tingkatan 3","TA4","Tingkatan 4","TA5","Tingkatan 5")</f>
        <v>Tingkatan 5</v>
      </c>
      <c r="K223" s="9" t="b">
        <f>IF(COUNTIF(E223,"*DLP*"),TRUE)</f>
        <v>0</v>
      </c>
      <c r="L223" s="10" t="s">
        <v>130</v>
      </c>
    </row>
    <row r="224" spans="1:12" x14ac:dyDescent="0.3">
      <c r="A224" s="3" t="s">
        <v>8</v>
      </c>
      <c r="B224" s="4" t="str">
        <f>"TA5"</f>
        <v>TA5</v>
      </c>
      <c r="C224" s="4">
        <f>C223+1</f>
        <v>38</v>
      </c>
      <c r="D224" s="5" t="str" cm="1">
        <f t="array" ref="D224">A224&amp;B224&amp;_xlfn.IFS(C224 &lt; 10,"B00"&amp;C224,AND(C224 &gt;= 10,C224 &lt; 100),"B0"&amp;C224,C224 &gt;= 100,"B"&amp;C224)</f>
        <v>SMTA5B038</v>
      </c>
      <c r="E224" s="4" t="s">
        <v>83</v>
      </c>
      <c r="F224" s="5" t="str">
        <f>SUBSTITUTE(E224,"DLP"," ")</f>
        <v>Pertanian</v>
      </c>
      <c r="G224" s="4" t="s">
        <v>124</v>
      </c>
      <c r="H224" s="5" t="str" cm="1">
        <f t="array" ref="H224">_xlfn.IFS(G224 = "KSSR","Kokurikulum Standard Sekolah Rendah",G224 = "KSSM","Kokurikulum Standard Sekolah Menengah",G224 = "KBDKBT","Kokurikulum Bersepadu Dini dan Kokurikulum Bersepadu Tahfiz",G224 = "SSeM","Sekolah Seni Malaysia",G224 = "KC","Kesusasteraan Cina",G224 = "KSSMPK","Pendidikan Khas",G224 = "MPEI","Mata Pelajaran Elektif Ikhtisas",G224 = "MPET","Mata Pelajaran Elektif Teknikal",G224 = "MPV","Mata Pelajaran Vokasional",G224 = "MPAK","Mata Pelajaran Aliran Kebangsaan")</f>
        <v>Mata Pelajaran Elektif Ikhtisas</v>
      </c>
      <c r="I224" s="4" t="str" cm="1">
        <f t="array" ref="I224">_xlfn.IFS(A224="SR","Sekolah Rendah",A224="SM","Sekolah Menengah")</f>
        <v>Sekolah Menengah</v>
      </c>
      <c r="J224" s="4" t="str" cm="1">
        <f t="array" ref="J224">_xlfn.SWITCH(B224,"T1","Tahun 1","T2","Tahun 2","T3","Tahun 3","T4","Tahun 4","T5","Tahun 5","T6","Tahun 6","TB1","Tingkatan 1","TB2","Tingkatan 2","TB3","Tingkatan 3","TA4","Tingkatan 4","TA5","Tingkatan 5")</f>
        <v>Tingkatan 5</v>
      </c>
      <c r="K224" s="4" t="b">
        <f>IF(COUNTIF(E224,"*DLP*"),TRUE)</f>
        <v>0</v>
      </c>
      <c r="L224" s="7" t="s">
        <v>130</v>
      </c>
    </row>
    <row r="225" spans="1:12" x14ac:dyDescent="0.3">
      <c r="A225" s="8" t="s">
        <v>8</v>
      </c>
      <c r="B225" s="9" t="str">
        <f>"TA5"</f>
        <v>TA5</v>
      </c>
      <c r="C225" s="9">
        <f>C224+1</f>
        <v>39</v>
      </c>
      <c r="D225" s="6" t="str" cm="1">
        <f t="array" ref="D225">A225&amp;B225&amp;_xlfn.IFS(C225 &lt; 10,"B00"&amp;C225,AND(C225 &gt;= 10,C225 &lt; 100),"B0"&amp;C225,C225 &gt;= 100,"B"&amp;C225)</f>
        <v>SMTA5B039</v>
      </c>
      <c r="E225" s="9" t="s">
        <v>57</v>
      </c>
      <c r="F225" s="6" t="str">
        <f>SUBSTITUTE(E225,"DLP"," ")</f>
        <v>Prinsip Perakaunan</v>
      </c>
      <c r="G225" s="9" t="s">
        <v>124</v>
      </c>
      <c r="H225" s="6" t="str" cm="1">
        <f t="array" ref="H225">_xlfn.IFS(G225 = "KSSR","Kokurikulum Standard Sekolah Rendah",G225 = "KSSM","Kokurikulum Standard Sekolah Menengah",G225 = "KBDKBT","Kokurikulum Bersepadu Dini dan Kokurikulum Bersepadu Tahfiz",G225 = "SSeM","Sekolah Seni Malaysia",G225 = "KC","Kesusasteraan Cina",G225 = "KSSMPK","Pendidikan Khas",G225 = "MPEI","Mata Pelajaran Elektif Ikhtisas",G225 = "MPET","Mata Pelajaran Elektif Teknikal",G225 = "MPV","Mata Pelajaran Vokasional",G225 = "MPAK","Mata Pelajaran Aliran Kebangsaan")</f>
        <v>Mata Pelajaran Elektif Ikhtisas</v>
      </c>
      <c r="I225" s="9" t="str" cm="1">
        <f t="array" ref="I225">_xlfn.IFS(A225="SR","Sekolah Rendah",A225="SM","Sekolah Menengah")</f>
        <v>Sekolah Menengah</v>
      </c>
      <c r="J225" s="9" t="str" cm="1">
        <f t="array" ref="J225">_xlfn.SWITCH(B225,"T1","Tahun 1","T2","Tahun 2","T3","Tahun 3","T4","Tahun 4","T5","Tahun 5","T6","Tahun 6","TB1","Tingkatan 1","TB2","Tingkatan 2","TB3","Tingkatan 3","TA4","Tingkatan 4","TA5","Tingkatan 5")</f>
        <v>Tingkatan 5</v>
      </c>
      <c r="K225" s="9" t="b">
        <f>IF(COUNTIF(E225,"*DLP*"),TRUE)</f>
        <v>0</v>
      </c>
      <c r="L225" s="10" t="s">
        <v>130</v>
      </c>
    </row>
    <row r="226" spans="1:12" x14ac:dyDescent="0.3">
      <c r="A226" s="3" t="s">
        <v>8</v>
      </c>
      <c r="B226" s="4" t="str">
        <f>"TA5"</f>
        <v>TA5</v>
      </c>
      <c r="C226" s="4">
        <f>C225+1</f>
        <v>40</v>
      </c>
      <c r="D226" s="5" t="str" cm="1">
        <f t="array" ref="D226">A226&amp;B226&amp;_xlfn.IFS(C226 &lt; 10,"B00"&amp;C226,AND(C226 &gt;= 10,C226 &lt; 100),"B0"&amp;C226,C226 &gt;= 100,"B"&amp;C226)</f>
        <v>SMTA5B040</v>
      </c>
      <c r="E226" s="4" t="s">
        <v>64</v>
      </c>
      <c r="F226" s="5" t="str">
        <f>SUBSTITUTE(E226,"DLP"," ")</f>
        <v>Reka Cipta</v>
      </c>
      <c r="G226" s="4" t="s">
        <v>124</v>
      </c>
      <c r="H226" s="5" t="str" cm="1">
        <f t="array" ref="H226">_xlfn.IFS(G226 = "KSSR","Kokurikulum Standard Sekolah Rendah",G226 = "KSSM","Kokurikulum Standard Sekolah Menengah",G226 = "KBDKBT","Kokurikulum Bersepadu Dini dan Kokurikulum Bersepadu Tahfiz",G226 = "SSeM","Sekolah Seni Malaysia",G226 = "KC","Kesusasteraan Cina",G226 = "KSSMPK","Pendidikan Khas",G226 = "MPEI","Mata Pelajaran Elektif Ikhtisas",G226 = "MPET","Mata Pelajaran Elektif Teknikal",G226 = "MPV","Mata Pelajaran Vokasional",G226 = "MPAK","Mata Pelajaran Aliran Kebangsaan")</f>
        <v>Mata Pelajaran Elektif Ikhtisas</v>
      </c>
      <c r="I226" s="4" t="str" cm="1">
        <f t="array" ref="I226">_xlfn.IFS(A226="SR","Sekolah Rendah",A226="SM","Sekolah Menengah")</f>
        <v>Sekolah Menengah</v>
      </c>
      <c r="J226" s="4" t="str" cm="1">
        <f t="array" ref="J226">_xlfn.SWITCH(B226,"T1","Tahun 1","T2","Tahun 2","T3","Tahun 3","T4","Tahun 4","T5","Tahun 5","T6","Tahun 6","TB1","Tingkatan 1","TB2","Tingkatan 2","TB3","Tingkatan 3","TA4","Tingkatan 4","TA5","Tingkatan 5")</f>
        <v>Tingkatan 5</v>
      </c>
      <c r="K226" s="4" t="b">
        <f>IF(COUNTIF(E226,"*DLP*"),TRUE)</f>
        <v>0</v>
      </c>
      <c r="L226" s="7" t="s">
        <v>130</v>
      </c>
    </row>
    <row r="227" spans="1:12" x14ac:dyDescent="0.3">
      <c r="A227" s="8" t="s">
        <v>8</v>
      </c>
      <c r="B227" s="9" t="str">
        <f>"TA5"</f>
        <v>TA5</v>
      </c>
      <c r="C227" s="9">
        <f>C226+1</f>
        <v>41</v>
      </c>
      <c r="D227" s="6" t="str" cm="1">
        <f t="array" ref="D227">A227&amp;B227&amp;_xlfn.IFS(C227 &lt; 10,"B00"&amp;C227,AND(C227 &gt;= 10,C227 &lt; 100),"B0"&amp;C227,C227 &gt;= 100,"B"&amp;C227)</f>
        <v>SMTA5B041</v>
      </c>
      <c r="E227" s="9" t="s">
        <v>54</v>
      </c>
      <c r="F227" s="6" t="str">
        <f>SUBSTITUTE(E227,"DLP"," ")</f>
        <v>Sains Komputer</v>
      </c>
      <c r="G227" s="9" t="s">
        <v>124</v>
      </c>
      <c r="H227" s="6" t="str" cm="1">
        <f t="array" ref="H227">_xlfn.IFS(G227 = "KSSR","Kokurikulum Standard Sekolah Rendah",G227 = "KSSM","Kokurikulum Standard Sekolah Menengah",G227 = "KBDKBT","Kokurikulum Bersepadu Dini dan Kokurikulum Bersepadu Tahfiz",G227 = "SSeM","Sekolah Seni Malaysia",G227 = "KC","Kesusasteraan Cina",G227 = "KSSMPK","Pendidikan Khas",G227 = "MPEI","Mata Pelajaran Elektif Ikhtisas",G227 = "MPET","Mata Pelajaran Elektif Teknikal",G227 = "MPV","Mata Pelajaran Vokasional",G227 = "MPAK","Mata Pelajaran Aliran Kebangsaan")</f>
        <v>Mata Pelajaran Elektif Ikhtisas</v>
      </c>
      <c r="I227" s="9" t="str" cm="1">
        <f t="array" ref="I227">_xlfn.IFS(A227="SR","Sekolah Rendah",A227="SM","Sekolah Menengah")</f>
        <v>Sekolah Menengah</v>
      </c>
      <c r="J227" s="9" t="str" cm="1">
        <f t="array" ref="J227">_xlfn.SWITCH(B227,"T1","Tahun 1","T2","Tahun 2","T3","Tahun 3","T4","Tahun 4","T5","Tahun 5","T6","Tahun 6","TB1","Tingkatan 1","TB2","Tingkatan 2","TB3","Tingkatan 3","TA4","Tingkatan 4","TA5","Tingkatan 5")</f>
        <v>Tingkatan 5</v>
      </c>
      <c r="K227" s="9" t="b">
        <f>IF(COUNTIF(E227,"*DLP*"),TRUE)</f>
        <v>0</v>
      </c>
      <c r="L227" s="10" t="s">
        <v>130</v>
      </c>
    </row>
    <row r="228" spans="1:12" x14ac:dyDescent="0.3">
      <c r="A228" s="3" t="s">
        <v>8</v>
      </c>
      <c r="B228" s="4" t="str">
        <f>"TA5"</f>
        <v>TA5</v>
      </c>
      <c r="C228" s="4">
        <f>C227+1</f>
        <v>42</v>
      </c>
      <c r="D228" s="5" t="str" cm="1">
        <f t="array" ref="D228">A228&amp;B228&amp;_xlfn.IFS(C228 &lt; 10,"B00"&amp;C228,AND(C228 &gt;= 10,C228 &lt; 100),"B0"&amp;C228,C228 &gt;= 100,"B"&amp;C228)</f>
        <v>SMTA5B042</v>
      </c>
      <c r="E228" s="4" t="s">
        <v>84</v>
      </c>
      <c r="F228" s="5" t="str">
        <f>SUBSTITUTE(E228,"DLP"," ")</f>
        <v>Sains Rumah Tangga</v>
      </c>
      <c r="G228" s="4" t="s">
        <v>124</v>
      </c>
      <c r="H228" s="5" t="str" cm="1">
        <f t="array" ref="H228">_xlfn.IFS(G228 = "KSSR","Kokurikulum Standard Sekolah Rendah",G228 = "KSSM","Kokurikulum Standard Sekolah Menengah",G228 = "KBDKBT","Kokurikulum Bersepadu Dini dan Kokurikulum Bersepadu Tahfiz",G228 = "SSeM","Sekolah Seni Malaysia",G228 = "KC","Kesusasteraan Cina",G228 = "KSSMPK","Pendidikan Khas",G228 = "MPEI","Mata Pelajaran Elektif Ikhtisas",G228 = "MPET","Mata Pelajaran Elektif Teknikal",G228 = "MPV","Mata Pelajaran Vokasional",G228 = "MPAK","Mata Pelajaran Aliran Kebangsaan")</f>
        <v>Mata Pelajaran Elektif Ikhtisas</v>
      </c>
      <c r="I228" s="4" t="str" cm="1">
        <f t="array" ref="I228">_xlfn.IFS(A228="SR","Sekolah Rendah",A228="SM","Sekolah Menengah")</f>
        <v>Sekolah Menengah</v>
      </c>
      <c r="J228" s="4" t="str" cm="1">
        <f t="array" ref="J228">_xlfn.SWITCH(B228,"T1","Tahun 1","T2","Tahun 2","T3","Tahun 3","T4","Tahun 4","T5","Tahun 5","T6","Tahun 6","TB1","Tingkatan 1","TB2","Tingkatan 2","TB3","Tingkatan 3","TA4","Tingkatan 4","TA5","Tingkatan 5")</f>
        <v>Tingkatan 5</v>
      </c>
      <c r="K228" s="4" t="b">
        <f>IF(COUNTIF(E228,"*DLP*"),TRUE)</f>
        <v>0</v>
      </c>
      <c r="L228" s="7" t="s">
        <v>130</v>
      </c>
    </row>
    <row r="229" spans="1:12" x14ac:dyDescent="0.3">
      <c r="A229" s="8" t="s">
        <v>8</v>
      </c>
      <c r="B229" s="9" t="str">
        <f>"TA5"</f>
        <v>TA5</v>
      </c>
      <c r="C229" s="9">
        <f>C228+1</f>
        <v>43</v>
      </c>
      <c r="D229" s="6" t="str" cm="1">
        <f t="array" ref="D229">A229&amp;B229&amp;_xlfn.IFS(C229 &lt; 10,"B00"&amp;C229,AND(C229 &gt;= 10,C229 &lt; 100),"B0"&amp;C229,C229 &gt;= 100,"B"&amp;C229)</f>
        <v>SMTA5B043</v>
      </c>
      <c r="E229" s="9" t="s">
        <v>69</v>
      </c>
      <c r="F229" s="6" t="str">
        <f>SUBSTITUTE(E229,"DLP"," ")</f>
        <v>Sains Sukan</v>
      </c>
      <c r="G229" s="9" t="s">
        <v>124</v>
      </c>
      <c r="H229" s="6" t="str" cm="1">
        <f t="array" ref="H229">_xlfn.IFS(G229 = "KSSR","Kokurikulum Standard Sekolah Rendah",G229 = "KSSM","Kokurikulum Standard Sekolah Menengah",G229 = "KBDKBT","Kokurikulum Bersepadu Dini dan Kokurikulum Bersepadu Tahfiz",G229 = "SSeM","Sekolah Seni Malaysia",G229 = "KC","Kesusasteraan Cina",G229 = "KSSMPK","Pendidikan Khas",G229 = "MPEI","Mata Pelajaran Elektif Ikhtisas",G229 = "MPET","Mata Pelajaran Elektif Teknikal",G229 = "MPV","Mata Pelajaran Vokasional",G229 = "MPAK","Mata Pelajaran Aliran Kebangsaan")</f>
        <v>Mata Pelajaran Elektif Ikhtisas</v>
      </c>
      <c r="I229" s="9" t="str" cm="1">
        <f t="array" ref="I229">_xlfn.IFS(A229="SR","Sekolah Rendah",A229="SM","Sekolah Menengah")</f>
        <v>Sekolah Menengah</v>
      </c>
      <c r="J229" s="9" t="str" cm="1">
        <f t="array" ref="J229">_xlfn.SWITCH(B229,"T1","Tahun 1","T2","Tahun 2","T3","Tahun 3","T4","Tahun 4","T5","Tahun 5","T6","Tahun 6","TB1","Tingkatan 1","TB2","Tingkatan 2","TB3","Tingkatan 3","TA4","Tingkatan 4","TA5","Tingkatan 5")</f>
        <v>Tingkatan 5</v>
      </c>
      <c r="K229" s="9" t="b">
        <f>IF(COUNTIF(E229,"*DLP*"),TRUE)</f>
        <v>0</v>
      </c>
      <c r="L229" s="10" t="s">
        <v>130</v>
      </c>
    </row>
    <row r="230" spans="1:12" x14ac:dyDescent="0.3">
      <c r="A230" s="3" t="s">
        <v>8</v>
      </c>
      <c r="B230" s="4" t="str">
        <f>"TA5"</f>
        <v>TA5</v>
      </c>
      <c r="C230" s="4">
        <f>C229+1</f>
        <v>44</v>
      </c>
      <c r="D230" s="5" t="str" cm="1">
        <f t="array" ref="D230">A230&amp;B230&amp;_xlfn.IFS(C230 &lt; 10,"B00"&amp;C230,AND(C230 &gt;= 10,C230 &lt; 100),"B0"&amp;C230,C230 &gt;= 100,"B"&amp;C230)</f>
        <v>SMTA5B044</v>
      </c>
      <c r="E230" s="4" t="s">
        <v>119</v>
      </c>
      <c r="F230" s="5" t="str">
        <f>SUBSTITUTE(E230,"DLP"," ")</f>
        <v>Al-Adab Wa Al-Balaghah</v>
      </c>
      <c r="G230" s="4" t="s">
        <v>38</v>
      </c>
      <c r="H230" s="5" t="str" cm="1">
        <f t="array" ref="H230">_xlfn.IFS(G230 = "KSSR","Kokurikulum Standard Sekolah Rendah",G230 = "KSSM","Kokurikulum Standard Sekolah Menengah",G230 = "KBDKBT","Kokurikulum Bersepadu Dini dan Kokurikulum Bersepadu Tahfiz",G230 = "SSeM","Sekolah Seni Malaysia",G230 = "KC","Kesusasteraan Cina",G230 = "KSSMPK","Pendidikan Khas",G230 = "MPEI","Mata Pelajaran Elektif Ikhtisas",G230 = "MPET","Mata Pelajaran Elektif Teknikal",G230 = "MPV","Mata Pelajaran Vokasional",G230 = "MPAK","Mata Pelajaran Aliran Kebangsaan")</f>
        <v>Kokurikulum Bersepadu Dini dan Kokurikulum Bersepadu Tahfiz</v>
      </c>
      <c r="I230" s="4" t="str" cm="1">
        <f t="array" ref="I230">_xlfn.IFS(A230="SR","Sekolah Rendah",A230="SM","Sekolah Menengah")</f>
        <v>Sekolah Menengah</v>
      </c>
      <c r="J230" s="4" t="str" cm="1">
        <f t="array" ref="J230">_xlfn.SWITCH(B230,"T1","Tahun 1","T2","Tahun 2","T3","Tahun 3","T4","Tahun 4","T5","Tahun 5","T6","Tahun 6","TB1","Tingkatan 1","TB2","Tingkatan 2","TB3","Tingkatan 3","TA4","Tingkatan 4","TA5","Tingkatan 5")</f>
        <v>Tingkatan 5</v>
      </c>
      <c r="K230" s="4" t="b">
        <f>IF(COUNTIF(E230,"*DLP*"),TRUE)</f>
        <v>0</v>
      </c>
      <c r="L230" s="7" t="s">
        <v>130</v>
      </c>
    </row>
    <row r="231" spans="1:12" x14ac:dyDescent="0.3">
      <c r="A231" s="8" t="s">
        <v>8</v>
      </c>
      <c r="B231" s="9" t="str">
        <f>"TA5"</f>
        <v>TA5</v>
      </c>
      <c r="C231" s="9">
        <f>C230+1</f>
        <v>45</v>
      </c>
      <c r="D231" s="6" t="str" cm="1">
        <f t="array" ref="D231">A231&amp;B231&amp;_xlfn.IFS(C231 &lt; 10,"B00"&amp;C231,AND(C231 &gt;= 10,C231 &lt; 100),"B0"&amp;C231,C231 &gt;= 100,"B"&amp;C231)</f>
        <v>SMTA5B045</v>
      </c>
      <c r="E231" s="9" t="s">
        <v>49</v>
      </c>
      <c r="F231" s="6" t="str">
        <f>SUBSTITUTE(E231,"DLP"," ")</f>
        <v>Al-Lughah Al-Arabiah Al-Muasirah</v>
      </c>
      <c r="G231" s="9" t="s">
        <v>38</v>
      </c>
      <c r="H231" s="6" t="str" cm="1">
        <f t="array" ref="H231">_xlfn.IFS(G231 = "KSSR","Kokurikulum Standard Sekolah Rendah",G231 = "KSSM","Kokurikulum Standard Sekolah Menengah",G231 = "KBDKBT","Kokurikulum Bersepadu Dini dan Kokurikulum Bersepadu Tahfiz",G231 = "SSeM","Sekolah Seni Malaysia",G231 = "KC","Kesusasteraan Cina",G231 = "KSSMPK","Pendidikan Khas",G231 = "MPEI","Mata Pelajaran Elektif Ikhtisas",G231 = "MPET","Mata Pelajaran Elektif Teknikal",G231 = "MPV","Mata Pelajaran Vokasional",G231 = "MPAK","Mata Pelajaran Aliran Kebangsaan")</f>
        <v>Kokurikulum Bersepadu Dini dan Kokurikulum Bersepadu Tahfiz</v>
      </c>
      <c r="I231" s="9" t="str" cm="1">
        <f t="array" ref="I231">_xlfn.IFS(A231="SR","Sekolah Rendah",A231="SM","Sekolah Menengah")</f>
        <v>Sekolah Menengah</v>
      </c>
      <c r="J231" s="9" t="str" cm="1">
        <f t="array" ref="J231">_xlfn.SWITCH(B231,"T1","Tahun 1","T2","Tahun 2","T3","Tahun 3","T4","Tahun 4","T5","Tahun 5","T6","Tahun 6","TB1","Tingkatan 1","TB2","Tingkatan 2","TB3","Tingkatan 3","TA4","Tingkatan 4","TA5","Tingkatan 5")</f>
        <v>Tingkatan 5</v>
      </c>
      <c r="K231" s="9" t="b">
        <f>IF(COUNTIF(E231,"*DLP*"),TRUE)</f>
        <v>0</v>
      </c>
      <c r="L231" s="10" t="s">
        <v>130</v>
      </c>
    </row>
    <row r="232" spans="1:12" x14ac:dyDescent="0.3">
      <c r="A232" s="3" t="s">
        <v>8</v>
      </c>
      <c r="B232" s="4" t="str">
        <f>"TA5"</f>
        <v>TA5</v>
      </c>
      <c r="C232" s="4">
        <f>C231+1</f>
        <v>46</v>
      </c>
      <c r="D232" s="5" t="str" cm="1">
        <f t="array" ref="D232">A232&amp;B232&amp;_xlfn.IFS(C232 &lt; 10,"B00"&amp;C232,AND(C232 &gt;= 10,C232 &lt; 100),"B0"&amp;C232,C232 &gt;= 100,"B"&amp;C232)</f>
        <v>SMTA5B046</v>
      </c>
      <c r="E232" s="4" t="s">
        <v>37</v>
      </c>
      <c r="F232" s="5" t="str">
        <f>SUBSTITUTE(E232,"DLP"," ")</f>
        <v>Al-Syariah</v>
      </c>
      <c r="G232" s="4" t="s">
        <v>38</v>
      </c>
      <c r="H232" s="5" t="str" cm="1">
        <f t="array" ref="H232">_xlfn.IFS(G232 = "KSSR","Kokurikulum Standard Sekolah Rendah",G232 = "KSSM","Kokurikulum Standard Sekolah Menengah",G232 = "KBDKBT","Kokurikulum Bersepadu Dini dan Kokurikulum Bersepadu Tahfiz",G232 = "SSeM","Sekolah Seni Malaysia",G232 = "KC","Kesusasteraan Cina",G232 = "KSSMPK","Pendidikan Khas",G232 = "MPEI","Mata Pelajaran Elektif Ikhtisas",G232 = "MPET","Mata Pelajaran Elektif Teknikal",G232 = "MPV","Mata Pelajaran Vokasional",G232 = "MPAK","Mata Pelajaran Aliran Kebangsaan")</f>
        <v>Kokurikulum Bersepadu Dini dan Kokurikulum Bersepadu Tahfiz</v>
      </c>
      <c r="I232" s="4" t="str" cm="1">
        <f t="array" ref="I232">_xlfn.IFS(A232="SR","Sekolah Rendah",A232="SM","Sekolah Menengah")</f>
        <v>Sekolah Menengah</v>
      </c>
      <c r="J232" s="4" t="str" cm="1">
        <f t="array" ref="J232">_xlfn.SWITCH(B232,"T1","Tahun 1","T2","Tahun 2","T3","Tahun 3","T4","Tahun 4","T5","Tahun 5","T6","Tahun 6","TB1","Tingkatan 1","TB2","Tingkatan 2","TB3","Tingkatan 3","TA4","Tingkatan 4","TA5","Tingkatan 5")</f>
        <v>Tingkatan 5</v>
      </c>
      <c r="K232" s="4" t="b">
        <f>IF(COUNTIF(E232,"*DLP*"),TRUE)</f>
        <v>0</v>
      </c>
      <c r="L232" s="7" t="s">
        <v>130</v>
      </c>
    </row>
    <row r="233" spans="1:12" x14ac:dyDescent="0.3">
      <c r="A233" s="8" t="s">
        <v>8</v>
      </c>
      <c r="B233" s="9" t="str">
        <f>"TA5"</f>
        <v>TA5</v>
      </c>
      <c r="C233" s="9">
        <f>C232+1</f>
        <v>47</v>
      </c>
      <c r="D233" s="6" t="str" cm="1">
        <f t="array" ref="D233">A233&amp;B233&amp;_xlfn.IFS(C233 &lt; 10,"B00"&amp;C233,AND(C233 &gt;= 10,C233 &lt; 100),"B0"&amp;C233,C233 &gt;= 100,"B"&amp;C233)</f>
        <v>SMTA5B047</v>
      </c>
      <c r="E233" s="9" t="s">
        <v>40</v>
      </c>
      <c r="F233" s="6" t="str">
        <f>SUBSTITUTE(E233,"DLP"," ")</f>
        <v>Daftar Hifz Al-Quran</v>
      </c>
      <c r="G233" s="9" t="s">
        <v>38</v>
      </c>
      <c r="H233" s="6" t="str" cm="1">
        <f t="array" ref="H233">_xlfn.IFS(G233 = "KSSR","Kokurikulum Standard Sekolah Rendah",G233 = "KSSM","Kokurikulum Standard Sekolah Menengah",G233 = "KBDKBT","Kokurikulum Bersepadu Dini dan Kokurikulum Bersepadu Tahfiz",G233 = "SSeM","Sekolah Seni Malaysia",G233 = "KC","Kesusasteraan Cina",G233 = "KSSMPK","Pendidikan Khas",G233 = "MPEI","Mata Pelajaran Elektif Ikhtisas",G233 = "MPET","Mata Pelajaran Elektif Teknikal",G233 = "MPV","Mata Pelajaran Vokasional",G233 = "MPAK","Mata Pelajaran Aliran Kebangsaan")</f>
        <v>Kokurikulum Bersepadu Dini dan Kokurikulum Bersepadu Tahfiz</v>
      </c>
      <c r="I233" s="9" t="str" cm="1">
        <f t="array" ref="I233">_xlfn.IFS(A233="SR","Sekolah Rendah",A233="SM","Sekolah Menengah")</f>
        <v>Sekolah Menengah</v>
      </c>
      <c r="J233" s="9" t="str" cm="1">
        <f t="array" ref="J233">_xlfn.SWITCH(B233,"T1","Tahun 1","T2","Tahun 2","T3","Tahun 3","T4","Tahun 4","T5","Tahun 5","T6","Tahun 6","TB1","Tingkatan 1","TB2","Tingkatan 2","TB3","Tingkatan 3","TA4","Tingkatan 4","TA5","Tingkatan 5")</f>
        <v>Tingkatan 5</v>
      </c>
      <c r="K233" s="9" t="b">
        <f>IF(COUNTIF(E233,"*DLP*"),TRUE)</f>
        <v>0</v>
      </c>
      <c r="L233" s="10" t="s">
        <v>130</v>
      </c>
    </row>
    <row r="234" spans="1:12" x14ac:dyDescent="0.3">
      <c r="A234" s="3" t="s">
        <v>8</v>
      </c>
      <c r="B234" s="4" t="str">
        <f>"TA5"</f>
        <v>TA5</v>
      </c>
      <c r="C234" s="4">
        <f>C233+1</f>
        <v>48</v>
      </c>
      <c r="D234" s="5" t="str" cm="1">
        <f t="array" ref="D234">A234&amp;B234&amp;_xlfn.IFS(C234 &lt; 10,"B00"&amp;C234,AND(C234 &gt;= 10,C234 &lt; 100),"B0"&amp;C234,C234 &gt;= 100,"B"&amp;C234)</f>
        <v>SMTA5B048</v>
      </c>
      <c r="E234" s="4" t="s">
        <v>41</v>
      </c>
      <c r="F234" s="5" t="str">
        <f>SUBSTITUTE(E234,"DLP"," ")</f>
        <v>Maharat Al-Quran</v>
      </c>
      <c r="G234" s="4" t="s">
        <v>38</v>
      </c>
      <c r="H234" s="5" t="str" cm="1">
        <f t="array" ref="H234">_xlfn.IFS(G234 = "KSSR","Kokurikulum Standard Sekolah Rendah",G234 = "KSSM","Kokurikulum Standard Sekolah Menengah",G234 = "KBDKBT","Kokurikulum Bersepadu Dini dan Kokurikulum Bersepadu Tahfiz",G234 = "SSeM","Sekolah Seni Malaysia",G234 = "KC","Kesusasteraan Cina",G234 = "KSSMPK","Pendidikan Khas",G234 = "MPEI","Mata Pelajaran Elektif Ikhtisas",G234 = "MPET","Mata Pelajaran Elektif Teknikal",G234 = "MPV","Mata Pelajaran Vokasional",G234 = "MPAK","Mata Pelajaran Aliran Kebangsaan")</f>
        <v>Kokurikulum Bersepadu Dini dan Kokurikulum Bersepadu Tahfiz</v>
      </c>
      <c r="I234" s="4" t="str" cm="1">
        <f t="array" ref="I234">_xlfn.IFS(A234="SR","Sekolah Rendah",A234="SM","Sekolah Menengah")</f>
        <v>Sekolah Menengah</v>
      </c>
      <c r="J234" s="4" t="str" cm="1">
        <f t="array" ref="J234">_xlfn.SWITCH(B234,"T1","Tahun 1","T2","Tahun 2","T3","Tahun 3","T4","Tahun 4","T5","Tahun 5","T6","Tahun 6","TB1","Tingkatan 1","TB2","Tingkatan 2","TB3","Tingkatan 3","TA4","Tingkatan 4","TA5","Tingkatan 5")</f>
        <v>Tingkatan 5</v>
      </c>
      <c r="K234" s="4" t="b">
        <f>IF(COUNTIF(E234,"*DLP*"),TRUE)</f>
        <v>0</v>
      </c>
      <c r="L234" s="7" t="s">
        <v>130</v>
      </c>
    </row>
    <row r="235" spans="1:12" x14ac:dyDescent="0.3">
      <c r="A235" s="8" t="s">
        <v>8</v>
      </c>
      <c r="B235" s="9" t="str">
        <f>"TA5"</f>
        <v>TA5</v>
      </c>
      <c r="C235" s="9">
        <f>C234+1</f>
        <v>49</v>
      </c>
      <c r="D235" s="6" t="str" cm="1">
        <f t="array" ref="D235">A235&amp;B235&amp;_xlfn.IFS(C235 &lt; 10,"B00"&amp;C235,AND(C235 &gt;= 10,C235 &lt; 100),"B0"&amp;C235,C235 &gt;= 100,"B"&amp;C235)</f>
        <v>SMTA5B049</v>
      </c>
      <c r="E235" s="9" t="s">
        <v>120</v>
      </c>
      <c r="F235" s="6" t="str">
        <f>SUBSTITUTE(E235,"DLP"," ")</f>
        <v>Manahij Al-Ulum Al-Islamiyah</v>
      </c>
      <c r="G235" s="9" t="s">
        <v>38</v>
      </c>
      <c r="H235" s="6" t="str" cm="1">
        <f t="array" ref="H235">_xlfn.IFS(G235 = "KSSR","Kokurikulum Standard Sekolah Rendah",G235 = "KSSM","Kokurikulum Standard Sekolah Menengah",G235 = "KBDKBT","Kokurikulum Bersepadu Dini dan Kokurikulum Bersepadu Tahfiz",G235 = "SSeM","Sekolah Seni Malaysia",G235 = "KC","Kesusasteraan Cina",G235 = "KSSMPK","Pendidikan Khas",G235 = "MPEI","Mata Pelajaran Elektif Ikhtisas",G235 = "MPET","Mata Pelajaran Elektif Teknikal",G235 = "MPV","Mata Pelajaran Vokasional",G235 = "MPAK","Mata Pelajaran Aliran Kebangsaan")</f>
        <v>Kokurikulum Bersepadu Dini dan Kokurikulum Bersepadu Tahfiz</v>
      </c>
      <c r="I235" s="9" t="str" cm="1">
        <f t="array" ref="I235">_xlfn.IFS(A235="SR","Sekolah Rendah",A235="SM","Sekolah Menengah")</f>
        <v>Sekolah Menengah</v>
      </c>
      <c r="J235" s="9" t="str" cm="1">
        <f t="array" ref="J235">_xlfn.SWITCH(B235,"T1","Tahun 1","T2","Tahun 2","T3","Tahun 3","T4","Tahun 4","T5","Tahun 5","T6","Tahun 6","TB1","Tingkatan 1","TB2","Tingkatan 2","TB3","Tingkatan 3","TA4","Tingkatan 4","TA5","Tingkatan 5")</f>
        <v>Tingkatan 5</v>
      </c>
      <c r="K235" s="9" t="b">
        <f>IF(COUNTIF(E235,"*DLP*"),TRUE)</f>
        <v>0</v>
      </c>
      <c r="L235" s="10" t="s">
        <v>130</v>
      </c>
    </row>
    <row r="236" spans="1:12" x14ac:dyDescent="0.3">
      <c r="A236" s="3" t="s">
        <v>8</v>
      </c>
      <c r="B236" s="4" t="str">
        <f>"TA5"</f>
        <v>TA5</v>
      </c>
      <c r="C236" s="4">
        <f>C235+1</f>
        <v>50</v>
      </c>
      <c r="D236" s="5" t="str" cm="1">
        <f t="array" ref="D236">A236&amp;B236&amp;_xlfn.IFS(C236 &lt; 10,"B00"&amp;C236,AND(C236 &gt;= 10,C236 &lt; 100),"B0"&amp;C236,C236 &gt;= 100,"B"&amp;C236)</f>
        <v>SMTA5B050</v>
      </c>
      <c r="E236" s="4" t="s">
        <v>39</v>
      </c>
      <c r="F236" s="5" t="str">
        <f>SUBSTITUTE(E236,"DLP"," ")</f>
        <v>Usul Al-Din</v>
      </c>
      <c r="G236" s="4" t="s">
        <v>38</v>
      </c>
      <c r="H236" s="5" t="str" cm="1">
        <f t="array" ref="H236">_xlfn.IFS(G236 = "KSSR","Kokurikulum Standard Sekolah Rendah",G236 = "KSSM","Kokurikulum Standard Sekolah Menengah",G236 = "KBDKBT","Kokurikulum Bersepadu Dini dan Kokurikulum Bersepadu Tahfiz",G236 = "SSeM","Sekolah Seni Malaysia",G236 = "KC","Kesusasteraan Cina",G236 = "KSSMPK","Pendidikan Khas",G236 = "MPEI","Mata Pelajaran Elektif Ikhtisas",G236 = "MPET","Mata Pelajaran Elektif Teknikal",G236 = "MPV","Mata Pelajaran Vokasional",G236 = "MPAK","Mata Pelajaran Aliran Kebangsaan")</f>
        <v>Kokurikulum Bersepadu Dini dan Kokurikulum Bersepadu Tahfiz</v>
      </c>
      <c r="I236" s="4" t="str" cm="1">
        <f t="array" ref="I236">_xlfn.IFS(A236="SR","Sekolah Rendah",A236="SM","Sekolah Menengah")</f>
        <v>Sekolah Menengah</v>
      </c>
      <c r="J236" s="4" t="str" cm="1">
        <f t="array" ref="J236">_xlfn.SWITCH(B236,"T1","Tahun 1","T2","Tahun 2","T3","Tahun 3","T4","Tahun 4","T5","Tahun 5","T6","Tahun 6","TB1","Tingkatan 1","TB2","Tingkatan 2","TB3","Tingkatan 3","TA4","Tingkatan 4","TA5","Tingkatan 5")</f>
        <v>Tingkatan 5</v>
      </c>
      <c r="K236" s="4" t="b">
        <f>IF(COUNTIF(E236,"*DLP*"),TRUE)</f>
        <v>0</v>
      </c>
      <c r="L236" s="7" t="s">
        <v>130</v>
      </c>
    </row>
    <row r="237" spans="1:12" x14ac:dyDescent="0.3">
      <c r="A237" s="8" t="s">
        <v>8</v>
      </c>
      <c r="B237" s="9" t="str">
        <f>"TA5"</f>
        <v>TA5</v>
      </c>
      <c r="C237" s="9">
        <f>C236+1</f>
        <v>51</v>
      </c>
      <c r="D237" s="6" t="str" cm="1">
        <f t="array" ref="D237">A237&amp;B237&amp;_xlfn.IFS(C237 &lt; 10,"B00"&amp;C237,AND(C237 &gt;= 10,C237 &lt; 100),"B0"&amp;C237,C237 &gt;= 100,"B"&amp;C237)</f>
        <v>SMTA5B051</v>
      </c>
      <c r="E237" s="9" t="s">
        <v>123</v>
      </c>
      <c r="F237" s="6" t="str">
        <f>SUBSTITUTE(E237,"DLP"," ")</f>
        <v>English for Skills Development Stream</v>
      </c>
      <c r="G237" s="9" t="s">
        <v>118</v>
      </c>
      <c r="H237" s="6" t="str" cm="1">
        <f t="array" ref="H237">_xlfn.IFS(G237 = "KSSR","Kokurikulum Standard Sekolah Rendah",G237 = "KSSM","Kokurikulum Standard Sekolah Menengah",G237 = "KBDKBT","Kokurikulum Bersepadu Dini dan Kokurikulum Bersepadu Tahfiz",G237 = "SSeM","Sekolah Seni Malaysia",G237 = "KC","Kesusasteraan Cina",G237 = "KSSMPK","Pendidikan Khas",G237 = "MPEI","Mata Pelajaran Elektif Ikhtisas",G237 = "MPET","Mata Pelajaran Elektif Teknikal",G237 = "MPV","Mata Pelajaran Vokasional",G237 = "MPAK","Mata Pelajaran Aliran Kebangsaan")</f>
        <v>Mata Pelajaran Aliran Kebangsaan</v>
      </c>
      <c r="I237" s="9" t="str" cm="1">
        <f t="array" ref="I237">_xlfn.IFS(A237="SR","Sekolah Rendah",A237="SM","Sekolah Menengah")</f>
        <v>Sekolah Menengah</v>
      </c>
      <c r="J237" s="9" t="str" cm="1">
        <f t="array" ref="J237">_xlfn.SWITCH(B237,"T1","Tahun 1","T2","Tahun 2","T3","Tahun 3","T4","Tahun 4","T5","Tahun 5","T6","Tahun 6","TB1","Tingkatan 1","TB2","Tingkatan 2","TB3","Tingkatan 3","TA4","Tingkatan 4","TA5","Tingkatan 5")</f>
        <v>Tingkatan 5</v>
      </c>
      <c r="K237" s="9" t="b">
        <f>IF(COUNTIF(E237,"*DLP*"),TRUE)</f>
        <v>0</v>
      </c>
      <c r="L237" s="10" t="s">
        <v>130</v>
      </c>
    </row>
    <row r="238" spans="1:12" x14ac:dyDescent="0.3">
      <c r="A238" s="3" t="s">
        <v>8</v>
      </c>
      <c r="B238" s="4" t="str">
        <f>"TA5"</f>
        <v>TA5</v>
      </c>
      <c r="C238" s="4">
        <f>C237+1</f>
        <v>52</v>
      </c>
      <c r="D238" s="5" t="str" cm="1">
        <f t="array" ref="D238">A238&amp;B238&amp;_xlfn.IFS(C238 &lt; 10,"B00"&amp;C238,AND(C238 &gt;= 10,C238 &lt; 100),"B0"&amp;C238,C238 &gt;= 100,"B"&amp;C238)</f>
        <v>SMTA5B052</v>
      </c>
      <c r="E238" s="4" t="s">
        <v>115</v>
      </c>
      <c r="F238" s="5" t="str">
        <f>SUBSTITUTE(E238,"DLP"," ")</f>
        <v>Matematik Aliran Kemahiran</v>
      </c>
      <c r="G238" s="4" t="s">
        <v>118</v>
      </c>
      <c r="H238" s="5" t="str" cm="1">
        <f t="array" ref="H238">_xlfn.IFS(G238 = "KSSR","Kokurikulum Standard Sekolah Rendah",G238 = "KSSM","Kokurikulum Standard Sekolah Menengah",G238 = "KBDKBT","Kokurikulum Bersepadu Dini dan Kokurikulum Bersepadu Tahfiz",G238 = "SSeM","Sekolah Seni Malaysia",G238 = "KC","Kesusasteraan Cina",G238 = "KSSMPK","Pendidikan Khas",G238 = "MPEI","Mata Pelajaran Elektif Ikhtisas",G238 = "MPET","Mata Pelajaran Elektif Teknikal",G238 = "MPV","Mata Pelajaran Vokasional",G238 = "MPAK","Mata Pelajaran Aliran Kebangsaan")</f>
        <v>Mata Pelajaran Aliran Kebangsaan</v>
      </c>
      <c r="I238" s="4" t="str" cm="1">
        <f t="array" ref="I238">_xlfn.IFS(A238="SR","Sekolah Rendah",A238="SM","Sekolah Menengah")</f>
        <v>Sekolah Menengah</v>
      </c>
      <c r="J238" s="4" t="str" cm="1">
        <f t="array" ref="J238">_xlfn.SWITCH(B238,"T1","Tahun 1","T2","Tahun 2","T3","Tahun 3","T4","Tahun 4","T5","Tahun 5","T6","Tahun 6","TB1","Tingkatan 1","TB2","Tingkatan 2","TB3","Tingkatan 3","TA4","Tingkatan 4","TA5","Tingkatan 5")</f>
        <v>Tingkatan 5</v>
      </c>
      <c r="K238" s="4" t="b">
        <f>IF(COUNTIF(E238,"*DLP*"),TRUE)</f>
        <v>0</v>
      </c>
      <c r="L238" s="7" t="s">
        <v>130</v>
      </c>
    </row>
    <row r="239" spans="1:12" x14ac:dyDescent="0.3">
      <c r="A239" s="8" t="s">
        <v>8</v>
      </c>
      <c r="B239" s="9" t="str">
        <f>"TA5"</f>
        <v>TA5</v>
      </c>
      <c r="C239" s="9">
        <f>C238+1</f>
        <v>53</v>
      </c>
      <c r="D239" s="6" t="str" cm="1">
        <f t="array" ref="D239">A239&amp;B239&amp;_xlfn.IFS(C239 &lt; 10,"B00"&amp;C239,AND(C239 &gt;= 10,C239 &lt; 100),"B0"&amp;C239,C239 &gt;= 100,"B"&amp;C239)</f>
        <v>SMTA5B053</v>
      </c>
      <c r="E239" s="9" t="s">
        <v>116</v>
      </c>
      <c r="F239" s="6" t="str">
        <f>SUBSTITUTE(E239,"DLP"," ")</f>
        <v>Pendidikan Islam Aliran Kemahiran</v>
      </c>
      <c r="G239" s="9" t="s">
        <v>118</v>
      </c>
      <c r="H239" s="6" t="str" cm="1">
        <f t="array" ref="H239">_xlfn.IFS(G239 = "KSSR","Kokurikulum Standard Sekolah Rendah",G239 = "KSSM","Kokurikulum Standard Sekolah Menengah",G239 = "KBDKBT","Kokurikulum Bersepadu Dini dan Kokurikulum Bersepadu Tahfiz",G239 = "SSeM","Sekolah Seni Malaysia",G239 = "KC","Kesusasteraan Cina",G239 = "KSSMPK","Pendidikan Khas",G239 = "MPEI","Mata Pelajaran Elektif Ikhtisas",G239 = "MPET","Mata Pelajaran Elektif Teknikal",G239 = "MPV","Mata Pelajaran Vokasional",G239 = "MPAK","Mata Pelajaran Aliran Kebangsaan")</f>
        <v>Mata Pelajaran Aliran Kebangsaan</v>
      </c>
      <c r="I239" s="9" t="str" cm="1">
        <f t="array" ref="I239">_xlfn.IFS(A239="SR","Sekolah Rendah",A239="SM","Sekolah Menengah")</f>
        <v>Sekolah Menengah</v>
      </c>
      <c r="J239" s="9" t="str" cm="1">
        <f t="array" ref="J239">_xlfn.SWITCH(B239,"T1","Tahun 1","T2","Tahun 2","T3","Tahun 3","T4","Tahun 4","T5","Tahun 5","T6","Tahun 6","TB1","Tingkatan 1","TB2","Tingkatan 2","TB3","Tingkatan 3","TA4","Tingkatan 4","TA5","Tingkatan 5")</f>
        <v>Tingkatan 5</v>
      </c>
      <c r="K239" s="9" t="b">
        <f>IF(COUNTIF(E239,"*DLP*"),TRUE)</f>
        <v>0</v>
      </c>
      <c r="L239" s="10" t="s">
        <v>130</v>
      </c>
    </row>
    <row r="240" spans="1:12" x14ac:dyDescent="0.3">
      <c r="A240" s="3" t="s">
        <v>8</v>
      </c>
      <c r="B240" s="4" t="str">
        <f>"TA5"</f>
        <v>TA5</v>
      </c>
      <c r="C240" s="4">
        <f>C239+1</f>
        <v>54</v>
      </c>
      <c r="D240" s="5" t="str" cm="1">
        <f t="array" ref="D240">A240&amp;B240&amp;_xlfn.IFS(C240 &lt; 10,"B00"&amp;C240,AND(C240 &gt;= 10,C240 &lt; 100),"B0"&amp;C240,C240 &gt;= 100,"B"&amp;C240)</f>
        <v>SMTA5B054</v>
      </c>
      <c r="E240" s="4" t="s">
        <v>117</v>
      </c>
      <c r="F240" s="5" t="str">
        <f>SUBSTITUTE(E240,"DLP"," ")</f>
        <v>Pendidikan Moral Aliran Kemahiran</v>
      </c>
      <c r="G240" s="4" t="s">
        <v>118</v>
      </c>
      <c r="H240" s="5" t="str" cm="1">
        <f t="array" ref="H240">_xlfn.IFS(G240 = "KSSR","Kokurikulum Standard Sekolah Rendah",G240 = "KSSM","Kokurikulum Standard Sekolah Menengah",G240 = "KBDKBT","Kokurikulum Bersepadu Dini dan Kokurikulum Bersepadu Tahfiz",G240 = "SSeM","Sekolah Seni Malaysia",G240 = "KC","Kesusasteraan Cina",G240 = "KSSMPK","Pendidikan Khas",G240 = "MPEI","Mata Pelajaran Elektif Ikhtisas",G240 = "MPET","Mata Pelajaran Elektif Teknikal",G240 = "MPV","Mata Pelajaran Vokasional",G240 = "MPAK","Mata Pelajaran Aliran Kebangsaan")</f>
        <v>Mata Pelajaran Aliran Kebangsaan</v>
      </c>
      <c r="I240" s="4" t="str" cm="1">
        <f t="array" ref="I240">_xlfn.IFS(A240="SR","Sekolah Rendah",A240="SM","Sekolah Menengah")</f>
        <v>Sekolah Menengah</v>
      </c>
      <c r="J240" s="4" t="str" cm="1">
        <f t="array" ref="J240">_xlfn.SWITCH(B240,"T1","Tahun 1","T2","Tahun 2","T3","Tahun 3","T4","Tahun 4","T5","Tahun 5","T6","Tahun 6","TB1","Tingkatan 1","TB2","Tingkatan 2","TB3","Tingkatan 3","TA4","Tingkatan 4","TA5","Tingkatan 5")</f>
        <v>Tingkatan 5</v>
      </c>
      <c r="K240" s="4" t="b">
        <f>IF(COUNTIF(E240,"*DLP*"),TRUE)</f>
        <v>0</v>
      </c>
      <c r="L240" s="7" t="s">
        <v>130</v>
      </c>
    </row>
    <row r="241" spans="1:12" x14ac:dyDescent="0.3">
      <c r="A241" s="8" t="s">
        <v>8</v>
      </c>
      <c r="B241" s="9" t="str">
        <f>"TA5"</f>
        <v>TA5</v>
      </c>
      <c r="C241" s="9">
        <f>C240+1</f>
        <v>55</v>
      </c>
      <c r="D241" s="6" t="str" cm="1">
        <f t="array" ref="D241">A241&amp;B241&amp;_xlfn.IFS(C241 &lt; 10,"B00"&amp;C241,AND(C241 &gt;= 10,C241 &lt; 100),"B0"&amp;C241,C241 &gt;= 100,"B"&amp;C241)</f>
        <v>SMTA5B055</v>
      </c>
      <c r="E241" s="9" t="s">
        <v>127</v>
      </c>
      <c r="F241" s="6" t="str">
        <f>SUBSTITUTE(E241,"DLP"," ")</f>
        <v>Lukisan Kejuruteraan</v>
      </c>
      <c r="G241" s="9" t="s">
        <v>85</v>
      </c>
      <c r="H241" s="6" t="str" cm="1">
        <f t="array" ref="H241">_xlfn.IFS(G241 = "KSSR","Kokurikulum Standard Sekolah Rendah",G241 = "KSSM","Kokurikulum Standard Sekolah Menengah",G241 = "KBDKBT","Kokurikulum Bersepadu Dini dan Kokurikulum Bersepadu Tahfiz",G241 = "SSeM","Sekolah Seni Malaysia",G241 = "KC","Kesusasteraan Cina",G241 = "KSSMPK","Pendidikan Khas",G241 = "MPEI","Mata Pelajaran Elektif Ikhtisas",G241 = "MPET","Mata Pelajaran Elektif Teknikal",G241 = "MPV","Mata Pelajaran Vokasional",G241 = "MPAK","Mata Pelajaran Aliran Kebangsaan")</f>
        <v>Mata Pelajaran Elektif Teknikal</v>
      </c>
      <c r="I241" s="9" t="str" cm="1">
        <f t="array" ref="I241">_xlfn.IFS(A241="SR","Sekolah Rendah",A241="SM","Sekolah Menengah")</f>
        <v>Sekolah Menengah</v>
      </c>
      <c r="J241" s="9" t="str" cm="1">
        <f t="array" ref="J241">_xlfn.SWITCH(B241,"T1","Tahun 1","T2","Tahun 2","T3","Tahun 3","T4","Tahun 4","T5","Tahun 5","T6","Tahun 6","TB1","Tingkatan 1","TB2","Tingkatan 2","TB3","Tingkatan 3","TA4","Tingkatan 4","TA5","Tingkatan 5")</f>
        <v>Tingkatan 5</v>
      </c>
      <c r="K241" s="9" t="b">
        <f>IF(COUNTIF(E241,"*DLP*"),TRUE)</f>
        <v>0</v>
      </c>
      <c r="L241" s="10" t="s">
        <v>130</v>
      </c>
    </row>
    <row r="242" spans="1:12" x14ac:dyDescent="0.3">
      <c r="A242" s="3" t="s">
        <v>8</v>
      </c>
      <c r="B242" s="4" t="str">
        <f>"TA5"</f>
        <v>TA5</v>
      </c>
      <c r="C242" s="4">
        <f>C241+1</f>
        <v>56</v>
      </c>
      <c r="D242" s="5" t="str" cm="1">
        <f t="array" ref="D242">A242&amp;B242&amp;_xlfn.IFS(C242 &lt; 10,"B00"&amp;C242,AND(C242 &gt;= 10,C242 &lt; 100),"B0"&amp;C242,C242 &gt;= 100,"B"&amp;C242)</f>
        <v>SMTA5B056</v>
      </c>
      <c r="E242" s="4" t="s">
        <v>128</v>
      </c>
      <c r="F242" s="5" t="str">
        <f>SUBSTITUTE(E242,"DLP"," ")</f>
        <v>Pengajian Kejuruteraan Awam</v>
      </c>
      <c r="G242" s="4" t="s">
        <v>85</v>
      </c>
      <c r="H242" s="5" t="str" cm="1">
        <f t="array" ref="H242">_xlfn.IFS(G242 = "KSSR","Kokurikulum Standard Sekolah Rendah",G242 = "KSSM","Kokurikulum Standard Sekolah Menengah",G242 = "KBDKBT","Kokurikulum Bersepadu Dini dan Kokurikulum Bersepadu Tahfiz",G242 = "SSeM","Sekolah Seni Malaysia",G242 = "KC","Kesusasteraan Cina",G242 = "KSSMPK","Pendidikan Khas",G242 = "MPEI","Mata Pelajaran Elektif Ikhtisas",G242 = "MPET","Mata Pelajaran Elektif Teknikal",G242 = "MPV","Mata Pelajaran Vokasional",G242 = "MPAK","Mata Pelajaran Aliran Kebangsaan")</f>
        <v>Mata Pelajaran Elektif Teknikal</v>
      </c>
      <c r="I242" s="4" t="str" cm="1">
        <f t="array" ref="I242">_xlfn.IFS(A242="SR","Sekolah Rendah",A242="SM","Sekolah Menengah")</f>
        <v>Sekolah Menengah</v>
      </c>
      <c r="J242" s="4" t="str" cm="1">
        <f t="array" ref="J242">_xlfn.SWITCH(B242,"T1","Tahun 1","T2","Tahun 2","T3","Tahun 3","T4","Tahun 4","T5","Tahun 5","T6","Tahun 6","TB1","Tingkatan 1","TB2","Tingkatan 2","TB3","Tingkatan 3","TA4","Tingkatan 4","TA5","Tingkatan 5")</f>
        <v>Tingkatan 5</v>
      </c>
      <c r="K242" s="4" t="b">
        <f>IF(COUNTIF(E242,"*DLP*"),TRUE)</f>
        <v>0</v>
      </c>
      <c r="L242" s="7" t="s">
        <v>130</v>
      </c>
    </row>
    <row r="243" spans="1:12" x14ac:dyDescent="0.3">
      <c r="A243" s="8" t="s">
        <v>8</v>
      </c>
      <c r="B243" s="9" t="str">
        <f>"TA5"</f>
        <v>TA5</v>
      </c>
      <c r="C243" s="9">
        <f>C242+1</f>
        <v>57</v>
      </c>
      <c r="D243" s="6" t="str" cm="1">
        <f t="array" ref="D243">A243&amp;B243&amp;_xlfn.IFS(C243 &lt; 10,"B00"&amp;C243,AND(C243 &gt;= 10,C243 &lt; 100),"B0"&amp;C243,C243 &gt;= 100,"B"&amp;C243)</f>
        <v>SMTA5B057</v>
      </c>
      <c r="E243" s="9" t="s">
        <v>125</v>
      </c>
      <c r="F243" s="6" t="str">
        <f>SUBSTITUTE(E243,"DLP"," ")</f>
        <v>Pengajian Kejuruteraan Elektrik dan Elektronik</v>
      </c>
      <c r="G243" s="9" t="s">
        <v>85</v>
      </c>
      <c r="H243" s="6" t="str" cm="1">
        <f t="array" ref="H243">_xlfn.IFS(G243 = "KSSR","Kokurikulum Standard Sekolah Rendah",G243 = "KSSM","Kokurikulum Standard Sekolah Menengah",G243 = "KBDKBT","Kokurikulum Bersepadu Dini dan Kokurikulum Bersepadu Tahfiz",G243 = "SSeM","Sekolah Seni Malaysia",G243 = "KC","Kesusasteraan Cina",G243 = "KSSMPK","Pendidikan Khas",G243 = "MPEI","Mata Pelajaran Elektif Ikhtisas",G243 = "MPET","Mata Pelajaran Elektif Teknikal",G243 = "MPV","Mata Pelajaran Vokasional",G243 = "MPAK","Mata Pelajaran Aliran Kebangsaan")</f>
        <v>Mata Pelajaran Elektif Teknikal</v>
      </c>
      <c r="I243" s="9" t="str" cm="1">
        <f t="array" ref="I243">_xlfn.IFS(A243="SR","Sekolah Rendah",A243="SM","Sekolah Menengah")</f>
        <v>Sekolah Menengah</v>
      </c>
      <c r="J243" s="9" t="str" cm="1">
        <f t="array" ref="J243">_xlfn.SWITCH(B243,"T1","Tahun 1","T2","Tahun 2","T3","Tahun 3","T4","Tahun 4","T5","Tahun 5","T6","Tahun 6","TB1","Tingkatan 1","TB2","Tingkatan 2","TB3","Tingkatan 3","TA4","Tingkatan 4","TA5","Tingkatan 5")</f>
        <v>Tingkatan 5</v>
      </c>
      <c r="K243" s="9" t="b">
        <f>IF(COUNTIF(E243,"*DLP*"),TRUE)</f>
        <v>0</v>
      </c>
      <c r="L243" s="10" t="s">
        <v>130</v>
      </c>
    </row>
    <row r="244" spans="1:12" x14ac:dyDescent="0.3">
      <c r="A244" s="3" t="s">
        <v>8</v>
      </c>
      <c r="B244" s="4" t="str">
        <f>"TA5"</f>
        <v>TA5</v>
      </c>
      <c r="C244" s="4">
        <f>C243+1</f>
        <v>58</v>
      </c>
      <c r="D244" s="5" t="str" cm="1">
        <f t="array" ref="D244">A244&amp;B244&amp;_xlfn.IFS(C244 &lt; 10,"B00"&amp;C244,AND(C244 &gt;= 10,C244 &lt; 100),"B0"&amp;C244,C244 &gt;= 100,"B"&amp;C244)</f>
        <v>SMTA5B058</v>
      </c>
      <c r="E244" s="4" t="s">
        <v>126</v>
      </c>
      <c r="F244" s="5" t="str">
        <f>SUBSTITUTE(E244,"DLP"," ")</f>
        <v>Pengajian Kejuruteraan Mekanikal</v>
      </c>
      <c r="G244" s="4" t="s">
        <v>85</v>
      </c>
      <c r="H244" s="5" t="str" cm="1">
        <f t="array" ref="H244">_xlfn.IFS(G244 = "KSSR","Kokurikulum Standard Sekolah Rendah",G244 = "KSSM","Kokurikulum Standard Sekolah Menengah",G244 = "KBDKBT","Kokurikulum Bersepadu Dini dan Kokurikulum Bersepadu Tahfiz",G244 = "SSeM","Sekolah Seni Malaysia",G244 = "KC","Kesusasteraan Cina",G244 = "KSSMPK","Pendidikan Khas",G244 = "MPEI","Mata Pelajaran Elektif Ikhtisas",G244 = "MPET","Mata Pelajaran Elektif Teknikal",G244 = "MPV","Mata Pelajaran Vokasional",G244 = "MPAK","Mata Pelajaran Aliran Kebangsaan")</f>
        <v>Mata Pelajaran Elektif Teknikal</v>
      </c>
      <c r="I244" s="4" t="str" cm="1">
        <f t="array" ref="I244">_xlfn.IFS(A244="SR","Sekolah Rendah",A244="SM","Sekolah Menengah")</f>
        <v>Sekolah Menengah</v>
      </c>
      <c r="J244" s="4" t="str" cm="1">
        <f t="array" ref="J244">_xlfn.SWITCH(B244,"T1","Tahun 1","T2","Tahun 2","T3","Tahun 3","T4","Tahun 4","T5","Tahun 5","T6","Tahun 6","TB1","Tingkatan 1","TB2","Tingkatan 2","TB3","Tingkatan 3","TA4","Tingkatan 4","TA5","Tingkatan 5")</f>
        <v>Tingkatan 5</v>
      </c>
      <c r="K244" s="4" t="b">
        <f>IF(COUNTIF(E244,"*DLP*"),TRUE)</f>
        <v>0</v>
      </c>
      <c r="L244" s="7" t="s">
        <v>130</v>
      </c>
    </row>
    <row r="245" spans="1:12" x14ac:dyDescent="0.3">
      <c r="A245" s="8" t="s">
        <v>8</v>
      </c>
      <c r="B245" s="9" t="str">
        <f>"TA5"</f>
        <v>TA5</v>
      </c>
      <c r="C245" s="9">
        <f>C244+1</f>
        <v>59</v>
      </c>
      <c r="D245" s="6" t="str" cm="1">
        <f t="array" ref="D245">A245&amp;B245&amp;_xlfn.IFS(C245 &lt; 10,"B00"&amp;C245,AND(C245 &gt;= 10,C245 &lt; 100),"B0"&amp;C245,C245 &gt;= 100,"B"&amp;C245)</f>
        <v>SMTA5B059</v>
      </c>
      <c r="E245" s="9" t="s">
        <v>129</v>
      </c>
      <c r="F245" s="6" t="str">
        <f>SUBSTITUTE(E245,"DLP"," ")</f>
        <v>Pengajian Keusahawanan</v>
      </c>
      <c r="G245" s="9" t="s">
        <v>85</v>
      </c>
      <c r="H245" s="6" t="str" cm="1">
        <f t="array" ref="H245">_xlfn.IFS(G245 = "KSSR","Kokurikulum Standard Sekolah Rendah",G245 = "KSSM","Kokurikulum Standard Sekolah Menengah",G245 = "KBDKBT","Kokurikulum Bersepadu Dini dan Kokurikulum Bersepadu Tahfiz",G245 = "SSeM","Sekolah Seni Malaysia",G245 = "KC","Kesusasteraan Cina",G245 = "KSSMPK","Pendidikan Khas",G245 = "MPEI","Mata Pelajaran Elektif Ikhtisas",G245 = "MPET","Mata Pelajaran Elektif Teknikal",G245 = "MPV","Mata Pelajaran Vokasional",G245 = "MPAK","Mata Pelajaran Aliran Kebangsaan")</f>
        <v>Mata Pelajaran Elektif Teknikal</v>
      </c>
      <c r="I245" s="9" t="str" cm="1">
        <f t="array" ref="I245">_xlfn.IFS(A245="SR","Sekolah Rendah",A245="SM","Sekolah Menengah")</f>
        <v>Sekolah Menengah</v>
      </c>
      <c r="J245" s="9" t="str" cm="1">
        <f t="array" ref="J245">_xlfn.SWITCH(B245,"T1","Tahun 1","T2","Tahun 2","T3","Tahun 3","T4","Tahun 4","T5","Tahun 5","T6","Tahun 6","TB1","Tingkatan 1","TB2","Tingkatan 2","TB3","Tingkatan 3","TA4","Tingkatan 4","TA5","Tingkatan 5")</f>
        <v>Tingkatan 5</v>
      </c>
      <c r="K245" s="9" t="b">
        <f>IF(COUNTIF(E245,"*DLP*"),TRUE)</f>
        <v>0</v>
      </c>
      <c r="L245" s="10" t="s">
        <v>130</v>
      </c>
    </row>
    <row r="246" spans="1:12" x14ac:dyDescent="0.3">
      <c r="A246" s="3" t="s">
        <v>8</v>
      </c>
      <c r="B246" s="4" t="str">
        <f>"TA5"</f>
        <v>TA5</v>
      </c>
      <c r="C246" s="4">
        <f>C245+1</f>
        <v>60</v>
      </c>
      <c r="D246" s="5" t="str" cm="1">
        <f t="array" ref="D246">A246&amp;B246&amp;_xlfn.IFS(C246 &lt; 10,"B00"&amp;C246,AND(C246 &gt;= 10,C246 &lt; 100),"B0"&amp;C246,C246 &gt;= 100,"B"&amp;C246)</f>
        <v>SMTA5B060</v>
      </c>
      <c r="E246" s="4" t="s">
        <v>94</v>
      </c>
      <c r="F246" s="5" t="str">
        <f>SUBSTITUTE(E246,"DLP"," ")</f>
        <v>Akuakultur dan Haiwan Rekreasi</v>
      </c>
      <c r="G246" s="4" t="s">
        <v>108</v>
      </c>
      <c r="H246" s="5" t="str" cm="1">
        <f t="array" ref="H246">_xlfn.IFS(G246 = "KSSR","Kokurikulum Standard Sekolah Rendah",G246 = "KSSM","Kokurikulum Standard Sekolah Menengah",G246 = "KBDKBT","Kokurikulum Bersepadu Dini dan Kokurikulum Bersepadu Tahfiz",G246 = "SSeM","Sekolah Seni Malaysia",G246 = "KC","Kesusasteraan Cina",G246 = "KSSMPK","Pendidikan Khas",G246 = "MPEI","Mata Pelajaran Elektif Ikhtisas",G246 = "MPET","Mata Pelajaran Elektif Teknikal",G246 = "MPV","Mata Pelajaran Vokasional",G246 = "MPAK","Mata Pelajaran Aliran Kebangsaan")</f>
        <v>Mata Pelajaran Vokasional</v>
      </c>
      <c r="I246" s="4" t="str" cm="1">
        <f t="array" ref="I246">_xlfn.IFS(A246="SR","Sekolah Rendah",A246="SM","Sekolah Menengah")</f>
        <v>Sekolah Menengah</v>
      </c>
      <c r="J246" s="4" t="str" cm="1">
        <f t="array" ref="J246">_xlfn.SWITCH(B246,"T1","Tahun 1","T2","Tahun 2","T3","Tahun 3","T4","Tahun 4","T5","Tahun 5","T6","Tahun 6","TB1","Tingkatan 1","TB2","Tingkatan 2","TB3","Tingkatan 3","TA4","Tingkatan 4","TA5","Tingkatan 5")</f>
        <v>Tingkatan 5</v>
      </c>
      <c r="K246" s="4" t="b">
        <f>IF(COUNTIF(E246,"*DLP*"),TRUE)</f>
        <v>0</v>
      </c>
      <c r="L246" s="7" t="s">
        <v>130</v>
      </c>
    </row>
    <row r="247" spans="1:12" x14ac:dyDescent="0.3">
      <c r="A247" s="8" t="s">
        <v>8</v>
      </c>
      <c r="B247" s="9" t="str">
        <f>"TA5"</f>
        <v>TA5</v>
      </c>
      <c r="C247" s="9">
        <f>C246+1</f>
        <v>61</v>
      </c>
      <c r="D247" s="6" t="str" cm="1">
        <f t="array" ref="D247">A247&amp;B247&amp;_xlfn.IFS(C247 &lt; 10,"B00"&amp;C247,AND(C247 &gt;= 10,C247 &lt; 100),"B0"&amp;C247,C247 &gt;= 100,"B"&amp;C247)</f>
        <v>SMTA5B061</v>
      </c>
      <c r="E247" s="9" t="s">
        <v>95</v>
      </c>
      <c r="F247" s="6" t="str">
        <f>SUBSTITUTE(E247,"DLP"," ")</f>
        <v>Asuhan dan Pendidikan Awal Kanak-Kanak</v>
      </c>
      <c r="G247" s="9" t="s">
        <v>108</v>
      </c>
      <c r="H247" s="6" t="str" cm="1">
        <f t="array" ref="H247">_xlfn.IFS(G247 = "KSSR","Kokurikulum Standard Sekolah Rendah",G247 = "KSSM","Kokurikulum Standard Sekolah Menengah",G247 = "KBDKBT","Kokurikulum Bersepadu Dini dan Kokurikulum Bersepadu Tahfiz",G247 = "SSeM","Sekolah Seni Malaysia",G247 = "KC","Kesusasteraan Cina",G247 = "KSSMPK","Pendidikan Khas",G247 = "MPEI","Mata Pelajaran Elektif Ikhtisas",G247 = "MPET","Mata Pelajaran Elektif Teknikal",G247 = "MPV","Mata Pelajaran Vokasional",G247 = "MPAK","Mata Pelajaran Aliran Kebangsaan")</f>
        <v>Mata Pelajaran Vokasional</v>
      </c>
      <c r="I247" s="9" t="str" cm="1">
        <f t="array" ref="I247">_xlfn.IFS(A247="SR","Sekolah Rendah",A247="SM","Sekolah Menengah")</f>
        <v>Sekolah Menengah</v>
      </c>
      <c r="J247" s="9" t="str" cm="1">
        <f t="array" ref="J247">_xlfn.SWITCH(B247,"T1","Tahun 1","T2","Tahun 2","T3","Tahun 3","T4","Tahun 4","T5","Tahun 5","T6","Tahun 6","TB1","Tingkatan 1","TB2","Tingkatan 2","TB3","Tingkatan 3","TA4","Tingkatan 4","TA5","Tingkatan 5")</f>
        <v>Tingkatan 5</v>
      </c>
      <c r="K247" s="9" t="b">
        <f>IF(COUNTIF(E247,"*DLP*"),TRUE)</f>
        <v>0</v>
      </c>
      <c r="L247" s="10" t="s">
        <v>130</v>
      </c>
    </row>
    <row r="248" spans="1:12" x14ac:dyDescent="0.3">
      <c r="A248" s="3" t="s">
        <v>8</v>
      </c>
      <c r="B248" s="4" t="str">
        <f>"TA5"</f>
        <v>TA5</v>
      </c>
      <c r="C248" s="4">
        <f>C247+1</f>
        <v>62</v>
      </c>
      <c r="D248" s="5" t="str" cm="1">
        <f t="array" ref="D248">A248&amp;B248&amp;_xlfn.IFS(C248 &lt; 10,"B00"&amp;C248,AND(C248 &gt;= 10,C248 &lt; 100),"B0"&amp;C248,C248 &gt;= 100,"B"&amp;C248)</f>
        <v>SMTA5B062</v>
      </c>
      <c r="E248" s="4" t="s">
        <v>96</v>
      </c>
      <c r="F248" s="5" t="str">
        <f>SUBSTITUTE(E248,"DLP"," ")</f>
        <v>Gerontologi Asas dan Geriatrik</v>
      </c>
      <c r="G248" s="4" t="s">
        <v>108</v>
      </c>
      <c r="H248" s="5" t="str" cm="1">
        <f t="array" ref="H248">_xlfn.IFS(G248 = "KSSR","Kokurikulum Standard Sekolah Rendah",G248 = "KSSM","Kokurikulum Standard Sekolah Menengah",G248 = "KBDKBT","Kokurikulum Bersepadu Dini dan Kokurikulum Bersepadu Tahfiz",G248 = "SSeM","Sekolah Seni Malaysia",G248 = "KC","Kesusasteraan Cina",G248 = "KSSMPK","Pendidikan Khas",G248 = "MPEI","Mata Pelajaran Elektif Ikhtisas",G248 = "MPET","Mata Pelajaran Elektif Teknikal",G248 = "MPV","Mata Pelajaran Vokasional",G248 = "MPAK","Mata Pelajaran Aliran Kebangsaan")</f>
        <v>Mata Pelajaran Vokasional</v>
      </c>
      <c r="I248" s="4" t="str" cm="1">
        <f t="array" ref="I248">_xlfn.IFS(A248="SR","Sekolah Rendah",A248="SM","Sekolah Menengah")</f>
        <v>Sekolah Menengah</v>
      </c>
      <c r="J248" s="4" t="str" cm="1">
        <f t="array" ref="J248">_xlfn.SWITCH(B248,"T1","Tahun 1","T2","Tahun 2","T3","Tahun 3","T4","Tahun 4","T5","Tahun 5","T6","Tahun 6","TB1","Tingkatan 1","TB2","Tingkatan 2","TB3","Tingkatan 3","TA4","Tingkatan 4","TA5","Tingkatan 5")</f>
        <v>Tingkatan 5</v>
      </c>
      <c r="K248" s="4" t="b">
        <f>IF(COUNTIF(E248,"*DLP*"),TRUE)</f>
        <v>0</v>
      </c>
      <c r="L248" s="7" t="s">
        <v>130</v>
      </c>
    </row>
    <row r="249" spans="1:12" x14ac:dyDescent="0.3">
      <c r="A249" s="8" t="s">
        <v>8</v>
      </c>
      <c r="B249" s="9" t="str">
        <f>"TA5"</f>
        <v>TA5</v>
      </c>
      <c r="C249" s="9">
        <f>C248+1</f>
        <v>63</v>
      </c>
      <c r="D249" s="6" t="str" cm="1">
        <f t="array" ref="D249">A249&amp;B249&amp;_xlfn.IFS(C249 &lt; 10,"B00"&amp;C249,AND(C249 &gt;= 10,C249 &lt; 100),"B0"&amp;C249,C249 &gt;= 100,"B"&amp;C249)</f>
        <v>SMTA5B063</v>
      </c>
      <c r="E249" s="9" t="s">
        <v>86</v>
      </c>
      <c r="F249" s="6" t="str">
        <f>SUBSTITUTE(E249,"DLP"," ")</f>
        <v>Hiasan Dalaman</v>
      </c>
      <c r="G249" s="9" t="s">
        <v>108</v>
      </c>
      <c r="H249" s="6" t="str" cm="1">
        <f t="array" ref="H249">_xlfn.IFS(G249 = "KSSR","Kokurikulum Standard Sekolah Rendah",G249 = "KSSM","Kokurikulum Standard Sekolah Menengah",G249 = "KBDKBT","Kokurikulum Bersepadu Dini dan Kokurikulum Bersepadu Tahfiz",G249 = "SSeM","Sekolah Seni Malaysia",G249 = "KC","Kesusasteraan Cina",G249 = "KSSMPK","Pendidikan Khas",G249 = "MPEI","Mata Pelajaran Elektif Ikhtisas",G249 = "MPET","Mata Pelajaran Elektif Teknikal",G249 = "MPV","Mata Pelajaran Vokasional",G249 = "MPAK","Mata Pelajaran Aliran Kebangsaan")</f>
        <v>Mata Pelajaran Vokasional</v>
      </c>
      <c r="I249" s="9" t="str" cm="1">
        <f t="array" ref="I249">_xlfn.IFS(A249="SR","Sekolah Rendah",A249="SM","Sekolah Menengah")</f>
        <v>Sekolah Menengah</v>
      </c>
      <c r="J249" s="9" t="str" cm="1">
        <f t="array" ref="J249">_xlfn.SWITCH(B249,"T1","Tahun 1","T2","Tahun 2","T3","Tahun 3","T4","Tahun 4","T5","Tahun 5","T6","Tahun 6","TB1","Tingkatan 1","TB2","Tingkatan 2","TB3","Tingkatan 3","TA4","Tingkatan 4","TA5","Tingkatan 5")</f>
        <v>Tingkatan 5</v>
      </c>
      <c r="K249" s="9" t="b">
        <f>IF(COUNTIF(E249,"*DLP*"),TRUE)</f>
        <v>0</v>
      </c>
      <c r="L249" s="10" t="s">
        <v>130</v>
      </c>
    </row>
    <row r="250" spans="1:12" x14ac:dyDescent="0.3">
      <c r="A250" s="3" t="s">
        <v>8</v>
      </c>
      <c r="B250" s="4" t="str">
        <f>"TA5"</f>
        <v>TA5</v>
      </c>
      <c r="C250" s="4">
        <f>C249+1</f>
        <v>64</v>
      </c>
      <c r="D250" s="5" t="str" cm="1">
        <f t="array" ref="D250">A250&amp;B250&amp;_xlfn.IFS(C250 &lt; 10,"B00"&amp;C250,AND(C250 &gt;= 10,C250 &lt; 100),"B0"&amp;C250,C250 &gt;= 100,"B"&amp;C250)</f>
        <v>SMTA5B064</v>
      </c>
      <c r="E250" s="4" t="s">
        <v>87</v>
      </c>
      <c r="F250" s="5" t="str">
        <f>SUBSTITUTE(E250,"DLP"," ")</f>
        <v>Katering dan Penyajian</v>
      </c>
      <c r="G250" s="4" t="s">
        <v>108</v>
      </c>
      <c r="H250" s="5" t="str" cm="1">
        <f t="array" ref="H250">_xlfn.IFS(G250 = "KSSR","Kokurikulum Standard Sekolah Rendah",G250 = "KSSM","Kokurikulum Standard Sekolah Menengah",G250 = "KBDKBT","Kokurikulum Bersepadu Dini dan Kokurikulum Bersepadu Tahfiz",G250 = "SSeM","Sekolah Seni Malaysia",G250 = "KC","Kesusasteraan Cina",G250 = "KSSMPK","Pendidikan Khas",G250 = "MPEI","Mata Pelajaran Elektif Ikhtisas",G250 = "MPET","Mata Pelajaran Elektif Teknikal",G250 = "MPV","Mata Pelajaran Vokasional",G250 = "MPAK","Mata Pelajaran Aliran Kebangsaan")</f>
        <v>Mata Pelajaran Vokasional</v>
      </c>
      <c r="I250" s="4" t="str" cm="1">
        <f t="array" ref="I250">_xlfn.IFS(A250="SR","Sekolah Rendah",A250="SM","Sekolah Menengah")</f>
        <v>Sekolah Menengah</v>
      </c>
      <c r="J250" s="4" t="str" cm="1">
        <f t="array" ref="J250">_xlfn.SWITCH(B250,"T1","Tahun 1","T2","Tahun 2","T3","Tahun 3","T4","Tahun 4","T5","Tahun 5","T6","Tahun 6","TB1","Tingkatan 1","TB2","Tingkatan 2","TB3","Tingkatan 3","TA4","Tingkatan 4","TA5","Tingkatan 5")</f>
        <v>Tingkatan 5</v>
      </c>
      <c r="K250" s="4" t="b">
        <f>IF(COUNTIF(E250,"*DLP*"),TRUE)</f>
        <v>0</v>
      </c>
      <c r="L250" s="7" t="s">
        <v>130</v>
      </c>
    </row>
    <row r="251" spans="1:12" x14ac:dyDescent="0.3">
      <c r="A251" s="8" t="s">
        <v>8</v>
      </c>
      <c r="B251" s="9" t="str">
        <f>"TA5"</f>
        <v>TA5</v>
      </c>
      <c r="C251" s="9">
        <f>C250+1</f>
        <v>65</v>
      </c>
      <c r="D251" s="6" t="str" cm="1">
        <f t="array" ref="D251">A251&amp;B251&amp;_xlfn.IFS(C251 &lt; 10,"B00"&amp;C251,AND(C251 &gt;= 10,C251 &lt; 100),"B0"&amp;C251,C251 &gt;= 100,"B"&amp;C251)</f>
        <v>SMTA5B065</v>
      </c>
      <c r="E251" s="9" t="s">
        <v>97</v>
      </c>
      <c r="F251" s="6" t="str">
        <f>SUBSTITUTE(E251,"DLP"," ")</f>
        <v>Kerja Paip Domestik</v>
      </c>
      <c r="G251" s="9" t="s">
        <v>108</v>
      </c>
      <c r="H251" s="6" t="str" cm="1">
        <f t="array" ref="H251">_xlfn.IFS(G251 = "KSSR","Kokurikulum Standard Sekolah Rendah",G251 = "KSSM","Kokurikulum Standard Sekolah Menengah",G251 = "KBDKBT","Kokurikulum Bersepadu Dini dan Kokurikulum Bersepadu Tahfiz",G251 = "SSeM","Sekolah Seni Malaysia",G251 = "KC","Kesusasteraan Cina",G251 = "KSSMPK","Pendidikan Khas",G251 = "MPEI","Mata Pelajaran Elektif Ikhtisas",G251 = "MPET","Mata Pelajaran Elektif Teknikal",G251 = "MPV","Mata Pelajaran Vokasional",G251 = "MPAK","Mata Pelajaran Aliran Kebangsaan")</f>
        <v>Mata Pelajaran Vokasional</v>
      </c>
      <c r="I251" s="9" t="str" cm="1">
        <f t="array" ref="I251">_xlfn.IFS(A251="SR","Sekolah Rendah",A251="SM","Sekolah Menengah")</f>
        <v>Sekolah Menengah</v>
      </c>
      <c r="J251" s="9" t="str" cm="1">
        <f t="array" ref="J251">_xlfn.SWITCH(B251,"T1","Tahun 1","T2","Tahun 2","T3","Tahun 3","T4","Tahun 4","T5","Tahun 5","T6","Tahun 6","TB1","Tingkatan 1","TB2","Tingkatan 2","TB3","Tingkatan 3","TA4","Tingkatan 4","TA5","Tingkatan 5")</f>
        <v>Tingkatan 5</v>
      </c>
      <c r="K251" s="9" t="b">
        <f>IF(COUNTIF(E251,"*DLP*"),TRUE)</f>
        <v>0</v>
      </c>
      <c r="L251" s="10" t="s">
        <v>130</v>
      </c>
    </row>
    <row r="252" spans="1:12" x14ac:dyDescent="0.3">
      <c r="A252" s="3" t="s">
        <v>8</v>
      </c>
      <c r="B252" s="4" t="str">
        <f>"TA5"</f>
        <v>TA5</v>
      </c>
      <c r="C252" s="4">
        <f>C251+1</f>
        <v>66</v>
      </c>
      <c r="D252" s="5" t="str" cm="1">
        <f t="array" ref="D252">A252&amp;B252&amp;_xlfn.IFS(C252 &lt; 10,"B00"&amp;C252,AND(C252 &gt;= 10,C252 &lt; 100),"B0"&amp;C252,C252 &gt;= 100,"B"&amp;C252)</f>
        <v>SMTA5B066</v>
      </c>
      <c r="E252" s="4" t="s">
        <v>98</v>
      </c>
      <c r="F252" s="5" t="str">
        <f>SUBSTITUTE(E252,"DLP"," ")</f>
        <v>Kimpalan Arka dan Gas</v>
      </c>
      <c r="G252" s="4" t="s">
        <v>108</v>
      </c>
      <c r="H252" s="5" t="str" cm="1">
        <f t="array" ref="H252">_xlfn.IFS(G252 = "KSSR","Kokurikulum Standard Sekolah Rendah",G252 = "KSSM","Kokurikulum Standard Sekolah Menengah",G252 = "KBDKBT","Kokurikulum Bersepadu Dini dan Kokurikulum Bersepadu Tahfiz",G252 = "SSeM","Sekolah Seni Malaysia",G252 = "KC","Kesusasteraan Cina",G252 = "KSSMPK","Pendidikan Khas",G252 = "MPEI","Mata Pelajaran Elektif Ikhtisas",G252 = "MPET","Mata Pelajaran Elektif Teknikal",G252 = "MPV","Mata Pelajaran Vokasional",G252 = "MPAK","Mata Pelajaran Aliran Kebangsaan")</f>
        <v>Mata Pelajaran Vokasional</v>
      </c>
      <c r="I252" s="4" t="str" cm="1">
        <f t="array" ref="I252">_xlfn.IFS(A252="SR","Sekolah Rendah",A252="SM","Sekolah Menengah")</f>
        <v>Sekolah Menengah</v>
      </c>
      <c r="J252" s="4" t="str" cm="1">
        <f t="array" ref="J252">_xlfn.SWITCH(B252,"T1","Tahun 1","T2","Tahun 2","T3","Tahun 3","T4","Tahun 4","T5","Tahun 5","T6","Tahun 6","TB1","Tingkatan 1","TB2","Tingkatan 2","TB3","Tingkatan 3","TA4","Tingkatan 4","TA5","Tingkatan 5")</f>
        <v>Tingkatan 5</v>
      </c>
      <c r="K252" s="4" t="b">
        <f>IF(COUNTIF(E252,"*DLP*"),TRUE)</f>
        <v>0</v>
      </c>
      <c r="L252" s="7" t="s">
        <v>130</v>
      </c>
    </row>
    <row r="253" spans="1:12" x14ac:dyDescent="0.3">
      <c r="A253" s="8" t="s">
        <v>8</v>
      </c>
      <c r="B253" s="9" t="str">
        <f>"TA5"</f>
        <v>TA5</v>
      </c>
      <c r="C253" s="9">
        <f>C252+1</f>
        <v>67</v>
      </c>
      <c r="D253" s="6" t="str" cm="1">
        <f t="array" ref="D253">A253&amp;B253&amp;_xlfn.IFS(C253 &lt; 10,"B00"&amp;C253,AND(C253 &gt;= 10,C253 &lt; 100),"B0"&amp;C253,C253 &gt;= 100,"B"&amp;C253)</f>
        <v>SMTA5B067</v>
      </c>
      <c r="E253" s="9" t="s">
        <v>88</v>
      </c>
      <c r="F253" s="6" t="str">
        <f>SUBSTITUTE(E253,"DLP"," ")</f>
        <v>Landskap dan Nurseri</v>
      </c>
      <c r="G253" s="9" t="s">
        <v>108</v>
      </c>
      <c r="H253" s="6" t="str" cm="1">
        <f t="array" ref="H253">_xlfn.IFS(G253 = "KSSR","Kokurikulum Standard Sekolah Rendah",G253 = "KSSM","Kokurikulum Standard Sekolah Menengah",G253 = "KBDKBT","Kokurikulum Bersepadu Dini dan Kokurikulum Bersepadu Tahfiz",G253 = "SSeM","Sekolah Seni Malaysia",G253 = "KC","Kesusasteraan Cina",G253 = "KSSMPK","Pendidikan Khas",G253 = "MPEI","Mata Pelajaran Elektif Ikhtisas",G253 = "MPET","Mata Pelajaran Elektif Teknikal",G253 = "MPV","Mata Pelajaran Vokasional",G253 = "MPAK","Mata Pelajaran Aliran Kebangsaan")</f>
        <v>Mata Pelajaran Vokasional</v>
      </c>
      <c r="I253" s="9" t="str" cm="1">
        <f t="array" ref="I253">_xlfn.IFS(A253="SR","Sekolah Rendah",A253="SM","Sekolah Menengah")</f>
        <v>Sekolah Menengah</v>
      </c>
      <c r="J253" s="9" t="str" cm="1">
        <f t="array" ref="J253">_xlfn.SWITCH(B253,"T1","Tahun 1","T2","Tahun 2","T3","Tahun 3","T4","Tahun 4","T5","Tahun 5","T6","Tahun 6","TB1","Tingkatan 1","TB2","Tingkatan 2","TB3","Tingkatan 3","TA4","Tingkatan 4","TA5","Tingkatan 5")</f>
        <v>Tingkatan 5</v>
      </c>
      <c r="K253" s="9" t="b">
        <f>IF(COUNTIF(E253,"*DLP*"),TRUE)</f>
        <v>0</v>
      </c>
      <c r="L253" s="10" t="s">
        <v>130</v>
      </c>
    </row>
    <row r="254" spans="1:12" x14ac:dyDescent="0.3">
      <c r="A254" s="3" t="s">
        <v>8</v>
      </c>
      <c r="B254" s="4" t="str">
        <f>"TA5"</f>
        <v>TA5</v>
      </c>
      <c r="C254" s="4">
        <f>C253+1</f>
        <v>68</v>
      </c>
      <c r="D254" s="5" t="str" cm="1">
        <f t="array" ref="D254">A254&amp;B254&amp;_xlfn.IFS(C254 &lt; 10,"B00"&amp;C254,AND(C254 &gt;= 10,C254 &lt; 100),"B0"&amp;C254,C254 &gt;= 100,"B"&amp;C254)</f>
        <v>SMTA5B068</v>
      </c>
      <c r="E254" s="4" t="s">
        <v>89</v>
      </c>
      <c r="F254" s="5" t="str">
        <f>SUBSTITUTE(E254,"DLP"," ")</f>
        <v>Menservis Automobil</v>
      </c>
      <c r="G254" s="4" t="s">
        <v>108</v>
      </c>
      <c r="H254" s="5" t="str" cm="1">
        <f t="array" ref="H254">_xlfn.IFS(G254 = "KSSR","Kokurikulum Standard Sekolah Rendah",G254 = "KSSM","Kokurikulum Standard Sekolah Menengah",G254 = "KBDKBT","Kokurikulum Bersepadu Dini dan Kokurikulum Bersepadu Tahfiz",G254 = "SSeM","Sekolah Seni Malaysia",G254 = "KC","Kesusasteraan Cina",G254 = "KSSMPK","Pendidikan Khas",G254 = "MPEI","Mata Pelajaran Elektif Ikhtisas",G254 = "MPET","Mata Pelajaran Elektif Teknikal",G254 = "MPV","Mata Pelajaran Vokasional",G254 = "MPAK","Mata Pelajaran Aliran Kebangsaan")</f>
        <v>Mata Pelajaran Vokasional</v>
      </c>
      <c r="I254" s="4" t="str" cm="1">
        <f t="array" ref="I254">_xlfn.IFS(A254="SR","Sekolah Rendah",A254="SM","Sekolah Menengah")</f>
        <v>Sekolah Menengah</v>
      </c>
      <c r="J254" s="4" t="str" cm="1">
        <f t="array" ref="J254">_xlfn.SWITCH(B254,"T1","Tahun 1","T2","Tahun 2","T3","Tahun 3","T4","Tahun 4","T5","Tahun 5","T6","Tahun 6","TB1","Tingkatan 1","TB2","Tingkatan 2","TB3","Tingkatan 3","TA4","Tingkatan 4","TA5","Tingkatan 5")</f>
        <v>Tingkatan 5</v>
      </c>
      <c r="K254" s="4" t="b">
        <f>IF(COUNTIF(E254,"*DLP*"),TRUE)</f>
        <v>0</v>
      </c>
      <c r="L254" s="7" t="s">
        <v>130</v>
      </c>
    </row>
    <row r="255" spans="1:12" x14ac:dyDescent="0.3">
      <c r="A255" s="8" t="s">
        <v>8</v>
      </c>
      <c r="B255" s="9" t="str">
        <f>"TA5"</f>
        <v>TA5</v>
      </c>
      <c r="C255" s="9">
        <f>C254+1</f>
        <v>69</v>
      </c>
      <c r="D255" s="6" t="str" cm="1">
        <f t="array" ref="D255">A255&amp;B255&amp;_xlfn.IFS(C255 &lt; 10,"B00"&amp;C255,AND(C255 &gt;= 10,C255 &lt; 100),"B0"&amp;C255,C255 &gt;= 100,"B"&amp;C255)</f>
        <v>SMTA5B069</v>
      </c>
      <c r="E255" s="9" t="s">
        <v>89</v>
      </c>
      <c r="F255" s="6" t="str">
        <f>SUBSTITUTE(E255,"DLP"," ")</f>
        <v>Menservis Automobil</v>
      </c>
      <c r="G255" s="9" t="s">
        <v>108</v>
      </c>
      <c r="H255" s="6" t="str" cm="1">
        <f t="array" ref="H255">_xlfn.IFS(G255 = "KSSR","Kokurikulum Standard Sekolah Rendah",G255 = "KSSM","Kokurikulum Standard Sekolah Menengah",G255 = "KBDKBT","Kokurikulum Bersepadu Dini dan Kokurikulum Bersepadu Tahfiz",G255 = "SSeM","Sekolah Seni Malaysia",G255 = "KC","Kesusasteraan Cina",G255 = "KSSMPK","Pendidikan Khas",G255 = "MPEI","Mata Pelajaran Elektif Ikhtisas",G255 = "MPET","Mata Pelajaran Elektif Teknikal",G255 = "MPV","Mata Pelajaran Vokasional",G255 = "MPAK","Mata Pelajaran Aliran Kebangsaan")</f>
        <v>Mata Pelajaran Vokasional</v>
      </c>
      <c r="I255" s="9" t="str" cm="1">
        <f t="array" ref="I255">_xlfn.IFS(A255="SR","Sekolah Rendah",A255="SM","Sekolah Menengah")</f>
        <v>Sekolah Menengah</v>
      </c>
      <c r="J255" s="9" t="str" cm="1">
        <f t="array" ref="J255">_xlfn.SWITCH(B255,"T1","Tahun 1","T2","Tahun 2","T3","Tahun 3","T4","Tahun 4","T5","Tahun 5","T6","Tahun 6","TB1","Tingkatan 1","TB2","Tingkatan 2","TB3","Tingkatan 3","TA4","Tingkatan 4","TA5","Tingkatan 5")</f>
        <v>Tingkatan 5</v>
      </c>
      <c r="K255" s="9" t="b">
        <f>IF(COUNTIF(E255,"*DLP*"),TRUE)</f>
        <v>0</v>
      </c>
      <c r="L255" s="10" t="s">
        <v>130</v>
      </c>
    </row>
    <row r="256" spans="1:12" x14ac:dyDescent="0.3">
      <c r="A256" s="3" t="s">
        <v>8</v>
      </c>
      <c r="B256" s="4" t="str">
        <f>"TA5"</f>
        <v>TA5</v>
      </c>
      <c r="C256" s="4">
        <f>C255+1</f>
        <v>70</v>
      </c>
      <c r="D256" s="5" t="str" cm="1">
        <f t="array" ref="D256">A256&amp;B256&amp;_xlfn.IFS(C256 &lt; 10,"B00"&amp;C256,AND(C256 &gt;= 10,C256 &lt; 100),"B0"&amp;C256,C256 &gt;= 100,"B"&amp;C256)</f>
        <v>SMTA5B070</v>
      </c>
      <c r="E256" s="4" t="s">
        <v>100</v>
      </c>
      <c r="F256" s="5" t="str">
        <f>SUBSTITUTE(E256,"DLP"," ")</f>
        <v>Menservis Motosikal</v>
      </c>
      <c r="G256" s="4" t="s">
        <v>108</v>
      </c>
      <c r="H256" s="5" t="str" cm="1">
        <f t="array" ref="H256">_xlfn.IFS(G256 = "KSSR","Kokurikulum Standard Sekolah Rendah",G256 = "KSSM","Kokurikulum Standard Sekolah Menengah",G256 = "KBDKBT","Kokurikulum Bersepadu Dini dan Kokurikulum Bersepadu Tahfiz",G256 = "SSeM","Sekolah Seni Malaysia",G256 = "KC","Kesusasteraan Cina",G256 = "KSSMPK","Pendidikan Khas",G256 = "MPEI","Mata Pelajaran Elektif Ikhtisas",G256 = "MPET","Mata Pelajaran Elektif Teknikal",G256 = "MPV","Mata Pelajaran Vokasional",G256 = "MPAK","Mata Pelajaran Aliran Kebangsaan")</f>
        <v>Mata Pelajaran Vokasional</v>
      </c>
      <c r="I256" s="4" t="str" cm="1">
        <f t="array" ref="I256">_xlfn.IFS(A256="SR","Sekolah Rendah",A256="SM","Sekolah Menengah")</f>
        <v>Sekolah Menengah</v>
      </c>
      <c r="J256" s="4" t="str" cm="1">
        <f t="array" ref="J256">_xlfn.SWITCH(B256,"T1","Tahun 1","T2","Tahun 2","T3","Tahun 3","T4","Tahun 4","T5","Tahun 5","T6","Tahun 6","TB1","Tingkatan 1","TB2","Tingkatan 2","TB3","Tingkatan 3","TA4","Tingkatan 4","TA5","Tingkatan 5")</f>
        <v>Tingkatan 5</v>
      </c>
      <c r="K256" s="4" t="b">
        <f>IF(COUNTIF(E256,"*DLP*"),TRUE)</f>
        <v>0</v>
      </c>
      <c r="L256" s="7" t="s">
        <v>130</v>
      </c>
    </row>
    <row r="257" spans="1:12" x14ac:dyDescent="0.3">
      <c r="A257" s="8" t="s">
        <v>8</v>
      </c>
      <c r="B257" s="9" t="str">
        <f>"TA5"</f>
        <v>TA5</v>
      </c>
      <c r="C257" s="9">
        <f>C256+1</f>
        <v>71</v>
      </c>
      <c r="D257" s="6" t="str" cm="1">
        <f t="array" ref="D257">A257&amp;B257&amp;_xlfn.IFS(C257 &lt; 10,"B00"&amp;C257,AND(C257 &gt;= 10,C257 &lt; 100),"B0"&amp;C257,C257 &gt;= 100,"B"&amp;C257)</f>
        <v>SMTA5B071</v>
      </c>
      <c r="E257" s="9" t="s">
        <v>99</v>
      </c>
      <c r="F257" s="6" t="str">
        <f>SUBSTITUTE(E257,"DLP"," ")</f>
        <v>Menservis Penyejuk dan Penyaman Udara</v>
      </c>
      <c r="G257" s="9" t="s">
        <v>108</v>
      </c>
      <c r="H257" s="6" t="str" cm="1">
        <f t="array" ref="H257">_xlfn.IFS(G257 = "KSSR","Kokurikulum Standard Sekolah Rendah",G257 = "KSSM","Kokurikulum Standard Sekolah Menengah",G257 = "KBDKBT","Kokurikulum Bersepadu Dini dan Kokurikulum Bersepadu Tahfiz",G257 = "SSeM","Sekolah Seni Malaysia",G257 = "KC","Kesusasteraan Cina",G257 = "KSSMPK","Pendidikan Khas",G257 = "MPEI","Mata Pelajaran Elektif Ikhtisas",G257 = "MPET","Mata Pelajaran Elektif Teknikal",G257 = "MPV","Mata Pelajaran Vokasional",G257 = "MPAK","Mata Pelajaran Aliran Kebangsaan")</f>
        <v>Mata Pelajaran Vokasional</v>
      </c>
      <c r="I257" s="9" t="str" cm="1">
        <f t="array" ref="I257">_xlfn.IFS(A257="SR","Sekolah Rendah",A257="SM","Sekolah Menengah")</f>
        <v>Sekolah Menengah</v>
      </c>
      <c r="J257" s="9" t="str" cm="1">
        <f t="array" ref="J257">_xlfn.SWITCH(B257,"T1","Tahun 1","T2","Tahun 2","T3","Tahun 3","T4","Tahun 4","T5","Tahun 5","T6","Tahun 6","TB1","Tingkatan 1","TB2","Tingkatan 2","TB3","Tingkatan 3","TA4","Tingkatan 4","TA5","Tingkatan 5")</f>
        <v>Tingkatan 5</v>
      </c>
      <c r="K257" s="9" t="b">
        <f>IF(COUNTIF(E257,"*DLP*"),TRUE)</f>
        <v>0</v>
      </c>
      <c r="L257" s="10" t="s">
        <v>130</v>
      </c>
    </row>
    <row r="258" spans="1:12" x14ac:dyDescent="0.3">
      <c r="A258" s="3" t="s">
        <v>8</v>
      </c>
      <c r="B258" s="4" t="str">
        <f>"TA5"</f>
        <v>TA5</v>
      </c>
      <c r="C258" s="4">
        <f>C257+1</f>
        <v>72</v>
      </c>
      <c r="D258" s="5" t="str" cm="1">
        <f t="array" ref="D258">A258&amp;B258&amp;_xlfn.IFS(C258 &lt; 10,"B00"&amp;C258,AND(C258 &gt;= 10,C258 &lt; 100),"B0"&amp;C258,C258 &gt;= 100,"B"&amp;C258)</f>
        <v>SMTA5B072</v>
      </c>
      <c r="E258" s="4" t="s">
        <v>90</v>
      </c>
      <c r="F258" s="5" t="str">
        <f>SUBSTITUTE(E258,"DLP"," ")</f>
        <v>Menservis Peralatan Elektrik Domestik</v>
      </c>
      <c r="G258" s="4" t="s">
        <v>108</v>
      </c>
      <c r="H258" s="5" t="str" cm="1">
        <f t="array" ref="H258">_xlfn.IFS(G258 = "KSSR","Kokurikulum Standard Sekolah Rendah",G258 = "KSSM","Kokurikulum Standard Sekolah Menengah",G258 = "KBDKBT","Kokurikulum Bersepadu Dini dan Kokurikulum Bersepadu Tahfiz",G258 = "SSeM","Sekolah Seni Malaysia",G258 = "KC","Kesusasteraan Cina",G258 = "KSSMPK","Pendidikan Khas",G258 = "MPEI","Mata Pelajaran Elektif Ikhtisas",G258 = "MPET","Mata Pelajaran Elektif Teknikal",G258 = "MPV","Mata Pelajaran Vokasional",G258 = "MPAK","Mata Pelajaran Aliran Kebangsaan")</f>
        <v>Mata Pelajaran Vokasional</v>
      </c>
      <c r="I258" s="4" t="str" cm="1">
        <f t="array" ref="I258">_xlfn.IFS(A258="SR","Sekolah Rendah",A258="SM","Sekolah Menengah")</f>
        <v>Sekolah Menengah</v>
      </c>
      <c r="J258" s="4" t="str" cm="1">
        <f t="array" ref="J258">_xlfn.SWITCH(B258,"T1","Tahun 1","T2","Tahun 2","T3","Tahun 3","T4","Tahun 4","T5","Tahun 5","T6","Tahun 6","TB1","Tingkatan 1","TB2","Tingkatan 2","TB3","Tingkatan 3","TA4","Tingkatan 4","TA5","Tingkatan 5")</f>
        <v>Tingkatan 5</v>
      </c>
      <c r="K258" s="4" t="b">
        <f>IF(COUNTIF(E258,"*DLP*"),TRUE)</f>
        <v>0</v>
      </c>
      <c r="L258" s="7" t="s">
        <v>130</v>
      </c>
    </row>
    <row r="259" spans="1:12" x14ac:dyDescent="0.3">
      <c r="A259" s="8" t="s">
        <v>8</v>
      </c>
      <c r="B259" s="9" t="str">
        <f>"TA5"</f>
        <v>TA5</v>
      </c>
      <c r="C259" s="9">
        <f>C258+1</f>
        <v>73</v>
      </c>
      <c r="D259" s="6" t="str" cm="1">
        <f t="array" ref="D259">A259&amp;B259&amp;_xlfn.IFS(C259 &lt; 10,"B00"&amp;C259,AND(C259 &gt;= 10,C259 &lt; 100),"B0"&amp;C259,C259 &gt;= 100,"B"&amp;C259)</f>
        <v>SMTA5B073</v>
      </c>
      <c r="E259" s="9" t="s">
        <v>101</v>
      </c>
      <c r="F259" s="6" t="str">
        <f>SUBSTITUTE(E259,"DLP"," ")</f>
        <v>Pembinaan Domestik</v>
      </c>
      <c r="G259" s="9" t="s">
        <v>108</v>
      </c>
      <c r="H259" s="6" t="str" cm="1">
        <f t="array" ref="H259">_xlfn.IFS(G259 = "KSSR","Kokurikulum Standard Sekolah Rendah",G259 = "KSSM","Kokurikulum Standard Sekolah Menengah",G259 = "KBDKBT","Kokurikulum Bersepadu Dini dan Kokurikulum Bersepadu Tahfiz",G259 = "SSeM","Sekolah Seni Malaysia",G259 = "KC","Kesusasteraan Cina",G259 = "KSSMPK","Pendidikan Khas",G259 = "MPEI","Mata Pelajaran Elektif Ikhtisas",G259 = "MPET","Mata Pelajaran Elektif Teknikal",G259 = "MPV","Mata Pelajaran Vokasional",G259 = "MPAK","Mata Pelajaran Aliran Kebangsaan")</f>
        <v>Mata Pelajaran Vokasional</v>
      </c>
      <c r="I259" s="9" t="str" cm="1">
        <f t="array" ref="I259">_xlfn.IFS(A259="SR","Sekolah Rendah",A259="SM","Sekolah Menengah")</f>
        <v>Sekolah Menengah</v>
      </c>
      <c r="J259" s="9" t="str" cm="1">
        <f t="array" ref="J259">_xlfn.SWITCH(B259,"T1","Tahun 1","T2","Tahun 2","T3","Tahun 3","T4","Tahun 4","T5","Tahun 5","T6","Tahun 6","TB1","Tingkatan 1","TB2","Tingkatan 2","TB3","Tingkatan 3","TA4","Tingkatan 4","TA5","Tingkatan 5")</f>
        <v>Tingkatan 5</v>
      </c>
      <c r="K259" s="9" t="b">
        <f>IF(COUNTIF(E259,"*DLP*"),TRUE)</f>
        <v>0</v>
      </c>
      <c r="L259" s="10" t="s">
        <v>130</v>
      </c>
    </row>
    <row r="260" spans="1:12" x14ac:dyDescent="0.3">
      <c r="A260" s="3" t="s">
        <v>8</v>
      </c>
      <c r="B260" s="4" t="str">
        <f>"TA5"</f>
        <v>TA5</v>
      </c>
      <c r="C260" s="4">
        <f>C259+1</f>
        <v>74</v>
      </c>
      <c r="D260" s="5" t="str" cm="1">
        <f t="array" ref="D260">A260&amp;B260&amp;_xlfn.IFS(C260 &lt; 10,"B00"&amp;C260,AND(C260 &gt;= 10,C260 &lt; 100),"B0"&amp;C260,C260 &gt;= 100,"B"&amp;C260)</f>
        <v>SMTA5B074</v>
      </c>
      <c r="E260" s="4" t="s">
        <v>102</v>
      </c>
      <c r="F260" s="5" t="str">
        <f>SUBSTITUTE(E260,"DLP"," ")</f>
        <v>Pembuatan Perabot</v>
      </c>
      <c r="G260" s="4" t="s">
        <v>108</v>
      </c>
      <c r="H260" s="5" t="str" cm="1">
        <f t="array" ref="H260">_xlfn.IFS(G260 = "KSSR","Kokurikulum Standard Sekolah Rendah",G260 = "KSSM","Kokurikulum Standard Sekolah Menengah",G260 = "KBDKBT","Kokurikulum Bersepadu Dini dan Kokurikulum Bersepadu Tahfiz",G260 = "SSeM","Sekolah Seni Malaysia",G260 = "KC","Kesusasteraan Cina",G260 = "KSSMPK","Pendidikan Khas",G260 = "MPEI","Mata Pelajaran Elektif Ikhtisas",G260 = "MPET","Mata Pelajaran Elektif Teknikal",G260 = "MPV","Mata Pelajaran Vokasional",G260 = "MPAK","Mata Pelajaran Aliran Kebangsaan")</f>
        <v>Mata Pelajaran Vokasional</v>
      </c>
      <c r="I260" s="4" t="str" cm="1">
        <f t="array" ref="I260">_xlfn.IFS(A260="SR","Sekolah Rendah",A260="SM","Sekolah Menengah")</f>
        <v>Sekolah Menengah</v>
      </c>
      <c r="J260" s="4" t="str" cm="1">
        <f t="array" ref="J260">_xlfn.SWITCH(B260,"T1","Tahun 1","T2","Tahun 2","T3","Tahun 3","T4","Tahun 4","T5","Tahun 5","T6","Tahun 6","TB1","Tingkatan 1","TB2","Tingkatan 2","TB3","Tingkatan 3","TA4","Tingkatan 4","TA5","Tingkatan 5")</f>
        <v>Tingkatan 5</v>
      </c>
      <c r="K260" s="4" t="b">
        <f>IF(COUNTIF(E260,"*DLP*"),TRUE)</f>
        <v>0</v>
      </c>
      <c r="L260" s="7" t="s">
        <v>130</v>
      </c>
    </row>
    <row r="261" spans="1:12" x14ac:dyDescent="0.3">
      <c r="A261" s="8" t="s">
        <v>8</v>
      </c>
      <c r="B261" s="9" t="str">
        <f>"TA5"</f>
        <v>TA5</v>
      </c>
      <c r="C261" s="9">
        <f>C260+1</f>
        <v>75</v>
      </c>
      <c r="D261" s="6" t="str" cm="1">
        <f t="array" ref="D261">A261&amp;B261&amp;_xlfn.IFS(C261 &lt; 10,"B00"&amp;C261,AND(C261 &gt;= 10,C261 &lt; 100),"B0"&amp;C261,C261 &gt;= 100,"B"&amp;C261)</f>
        <v>SMTA5B075</v>
      </c>
      <c r="E261" s="9" t="s">
        <v>103</v>
      </c>
      <c r="F261" s="6" t="str">
        <f>SUBSTITUTE(E261,"DLP"," ")</f>
        <v>Pemprosesan Makanan</v>
      </c>
      <c r="G261" s="9" t="s">
        <v>108</v>
      </c>
      <c r="H261" s="6" t="str" cm="1">
        <f t="array" ref="H261">_xlfn.IFS(G261 = "KSSR","Kokurikulum Standard Sekolah Rendah",G261 = "KSSM","Kokurikulum Standard Sekolah Menengah",G261 = "KBDKBT","Kokurikulum Bersepadu Dini dan Kokurikulum Bersepadu Tahfiz",G261 = "SSeM","Sekolah Seni Malaysia",G261 = "KC","Kesusasteraan Cina",G261 = "KSSMPK","Pendidikan Khas",G261 = "MPEI","Mata Pelajaran Elektif Ikhtisas",G261 = "MPET","Mata Pelajaran Elektif Teknikal",G261 = "MPV","Mata Pelajaran Vokasional",G261 = "MPAK","Mata Pelajaran Aliran Kebangsaan")</f>
        <v>Mata Pelajaran Vokasional</v>
      </c>
      <c r="I261" s="9" t="str" cm="1">
        <f t="array" ref="I261">_xlfn.IFS(A261="SR","Sekolah Rendah",A261="SM","Sekolah Menengah")</f>
        <v>Sekolah Menengah</v>
      </c>
      <c r="J261" s="9" t="str" cm="1">
        <f t="array" ref="J261">_xlfn.SWITCH(B261,"T1","Tahun 1","T2","Tahun 2","T3","Tahun 3","T4","Tahun 4","T5","Tahun 5","T6","Tahun 6","TB1","Tingkatan 1","TB2","Tingkatan 2","TB3","Tingkatan 3","TA4","Tingkatan 4","TA5","Tingkatan 5")</f>
        <v>Tingkatan 5</v>
      </c>
      <c r="K261" s="9" t="b">
        <f>IF(COUNTIF(E261,"*DLP*"),TRUE)</f>
        <v>0</v>
      </c>
      <c r="L261" s="10" t="s">
        <v>130</v>
      </c>
    </row>
    <row r="262" spans="1:12" x14ac:dyDescent="0.3">
      <c r="A262" s="3" t="s">
        <v>8</v>
      </c>
      <c r="B262" s="4" t="str">
        <f>"TA5"</f>
        <v>TA5</v>
      </c>
      <c r="C262" s="4">
        <f>C261+1</f>
        <v>76</v>
      </c>
      <c r="D262" s="5" t="str" cm="1">
        <f t="array" ref="D262">A262&amp;B262&amp;_xlfn.IFS(C262 &lt; 10,"B00"&amp;C262,AND(C262 &gt;= 10,C262 &lt; 100),"B0"&amp;C262,C262 &gt;= 100,"B"&amp;C262)</f>
        <v>SMTA5B076</v>
      </c>
      <c r="E262" s="4" t="s">
        <v>104</v>
      </c>
      <c r="F262" s="5" t="str">
        <f>SUBSTITUTE(E262,"DLP"," ")</f>
        <v>Pendawaian Domestik</v>
      </c>
      <c r="G262" s="4" t="s">
        <v>108</v>
      </c>
      <c r="H262" s="5" t="str" cm="1">
        <f t="array" ref="H262">_xlfn.IFS(G262 = "KSSR","Kokurikulum Standard Sekolah Rendah",G262 = "KSSM","Kokurikulum Standard Sekolah Menengah",G262 = "KBDKBT","Kokurikulum Bersepadu Dini dan Kokurikulum Bersepadu Tahfiz",G262 = "SSeM","Sekolah Seni Malaysia",G262 = "KC","Kesusasteraan Cina",G262 = "KSSMPK","Pendidikan Khas",G262 = "MPEI","Mata Pelajaran Elektif Ikhtisas",G262 = "MPET","Mata Pelajaran Elektif Teknikal",G262 = "MPV","Mata Pelajaran Vokasional",G262 = "MPAK","Mata Pelajaran Aliran Kebangsaan")</f>
        <v>Mata Pelajaran Vokasional</v>
      </c>
      <c r="I262" s="4" t="str" cm="1">
        <f t="array" ref="I262">_xlfn.IFS(A262="SR","Sekolah Rendah",A262="SM","Sekolah Menengah")</f>
        <v>Sekolah Menengah</v>
      </c>
      <c r="J262" s="4" t="str" cm="1">
        <f t="array" ref="J262">_xlfn.SWITCH(B262,"T1","Tahun 1","T2","Tahun 2","T3","Tahun 3","T4","Tahun 4","T5","Tahun 5","T6","Tahun 6","TB1","Tingkatan 1","TB2","Tingkatan 2","TB3","Tingkatan 3","TA4","Tingkatan 4","TA5","Tingkatan 5")</f>
        <v>Tingkatan 5</v>
      </c>
      <c r="K262" s="4" t="b">
        <f>IF(COUNTIF(E262,"*DLP*"),TRUE)</f>
        <v>0</v>
      </c>
      <c r="L262" s="7" t="s">
        <v>130</v>
      </c>
    </row>
    <row r="263" spans="1:12" x14ac:dyDescent="0.3">
      <c r="A263" s="8" t="s">
        <v>8</v>
      </c>
      <c r="B263" s="9" t="str">
        <f>"TA5"</f>
        <v>TA5</v>
      </c>
      <c r="C263" s="9">
        <f>C262+1</f>
        <v>77</v>
      </c>
      <c r="D263" s="6" t="str" cm="1">
        <f t="array" ref="D263">A263&amp;B263&amp;_xlfn.IFS(C263 &lt; 10,"B00"&amp;C263,AND(C263 &gt;= 10,C263 &lt; 100),"B0"&amp;C263,C263 &gt;= 100,"B"&amp;C263)</f>
        <v>SMTA5B077</v>
      </c>
      <c r="E263" s="9" t="s">
        <v>105</v>
      </c>
      <c r="F263" s="6" t="str">
        <f>SUBSTITUTE(E263,"DLP"," ")</f>
        <v>Penjagaan Muka dan Pengayaan Rambut</v>
      </c>
      <c r="G263" s="9" t="s">
        <v>108</v>
      </c>
      <c r="H263" s="6" t="str" cm="1">
        <f t="array" ref="H263">_xlfn.IFS(G263 = "KSSR","Kokurikulum Standard Sekolah Rendah",G263 = "KSSM","Kokurikulum Standard Sekolah Menengah",G263 = "KBDKBT","Kokurikulum Bersepadu Dini dan Kokurikulum Bersepadu Tahfiz",G263 = "SSeM","Sekolah Seni Malaysia",G263 = "KC","Kesusasteraan Cina",G263 = "KSSMPK","Pendidikan Khas",G263 = "MPEI","Mata Pelajaran Elektif Ikhtisas",G263 = "MPET","Mata Pelajaran Elektif Teknikal",G263 = "MPV","Mata Pelajaran Vokasional",G263 = "MPAK","Mata Pelajaran Aliran Kebangsaan")</f>
        <v>Mata Pelajaran Vokasional</v>
      </c>
      <c r="I263" s="9" t="str" cm="1">
        <f t="array" ref="I263">_xlfn.IFS(A263="SR","Sekolah Rendah",A263="SM","Sekolah Menengah")</f>
        <v>Sekolah Menengah</v>
      </c>
      <c r="J263" s="9" t="str" cm="1">
        <f t="array" ref="J263">_xlfn.SWITCH(B263,"T1","Tahun 1","T2","Tahun 2","T3","Tahun 3","T4","Tahun 4","T5","Tahun 5","T6","Tahun 6","TB1","Tingkatan 1","TB2","Tingkatan 2","TB3","Tingkatan 3","TA4","Tingkatan 4","TA5","Tingkatan 5")</f>
        <v>Tingkatan 5</v>
      </c>
      <c r="K263" s="9" t="b">
        <f>IF(COUNTIF(E263,"*DLP*"),TRUE)</f>
        <v>0</v>
      </c>
      <c r="L263" s="10" t="s">
        <v>130</v>
      </c>
    </row>
    <row r="264" spans="1:12" x14ac:dyDescent="0.3">
      <c r="A264" s="3" t="s">
        <v>8</v>
      </c>
      <c r="B264" s="4" t="str">
        <f>"TA5"</f>
        <v>TA5</v>
      </c>
      <c r="C264" s="4">
        <f>C263+1</f>
        <v>78</v>
      </c>
      <c r="D264" s="5" t="str" cm="1">
        <f t="array" ref="D264">A264&amp;B264&amp;_xlfn.IFS(C264 &lt; 10,"B00"&amp;C264,AND(C264 &gt;= 10,C264 &lt; 100),"B0"&amp;C264,C264 &gt;= 100,"B"&amp;C264)</f>
        <v>SMTA5B078</v>
      </c>
      <c r="E264" s="4" t="s">
        <v>91</v>
      </c>
      <c r="F264" s="5" t="str">
        <f>SUBSTITUTE(E264,"DLP"," ")</f>
        <v>Produksi Multimedia</v>
      </c>
      <c r="G264" s="4" t="s">
        <v>108</v>
      </c>
      <c r="H264" s="5" t="str" cm="1">
        <f t="array" ref="H264">_xlfn.IFS(G264 = "KSSR","Kokurikulum Standard Sekolah Rendah",G264 = "KSSM","Kokurikulum Standard Sekolah Menengah",G264 = "KBDKBT","Kokurikulum Bersepadu Dini dan Kokurikulum Bersepadu Tahfiz",G264 = "SSeM","Sekolah Seni Malaysia",G264 = "KC","Kesusasteraan Cina",G264 = "KSSMPK","Pendidikan Khas",G264 = "MPEI","Mata Pelajaran Elektif Ikhtisas",G264 = "MPET","Mata Pelajaran Elektif Teknikal",G264 = "MPV","Mata Pelajaran Vokasional",G264 = "MPAK","Mata Pelajaran Aliran Kebangsaan")</f>
        <v>Mata Pelajaran Vokasional</v>
      </c>
      <c r="I264" s="4" t="str" cm="1">
        <f t="array" ref="I264">_xlfn.IFS(A264="SR","Sekolah Rendah",A264="SM","Sekolah Menengah")</f>
        <v>Sekolah Menengah</v>
      </c>
      <c r="J264" s="4" t="str" cm="1">
        <f t="array" ref="J264">_xlfn.SWITCH(B264,"T1","Tahun 1","T2","Tahun 2","T3","Tahun 3","T4","Tahun 4","T5","Tahun 5","T6","Tahun 6","TB1","Tingkatan 1","TB2","Tingkatan 2","TB3","Tingkatan 3","TA4","Tingkatan 4","TA5","Tingkatan 5")</f>
        <v>Tingkatan 5</v>
      </c>
      <c r="K264" s="4" t="b">
        <f>IF(COUNTIF(E264,"*DLP*"),TRUE)</f>
        <v>0</v>
      </c>
      <c r="L264" s="7" t="s">
        <v>130</v>
      </c>
    </row>
    <row r="265" spans="1:12" x14ac:dyDescent="0.3">
      <c r="A265" s="8" t="s">
        <v>8</v>
      </c>
      <c r="B265" s="9" t="str">
        <f>"TA5"</f>
        <v>TA5</v>
      </c>
      <c r="C265" s="9">
        <f>C264+1</f>
        <v>79</v>
      </c>
      <c r="D265" s="6" t="str" cm="1">
        <f t="array" ref="D265">A265&amp;B265&amp;_xlfn.IFS(C265 &lt; 10,"B00"&amp;C265,AND(C265 &gt;= 10,C265 &lt; 100),"B0"&amp;C265,C265 &gt;= 100,"B"&amp;C265)</f>
        <v>SMTA5B079</v>
      </c>
      <c r="E265" s="9" t="s">
        <v>91</v>
      </c>
      <c r="F265" s="6" t="str">
        <f>SUBSTITUTE(E265,"DLP"," ")</f>
        <v>Produksi Multimedia</v>
      </c>
      <c r="G265" s="9" t="s">
        <v>108</v>
      </c>
      <c r="H265" s="6" t="str" cm="1">
        <f t="array" ref="H265">_xlfn.IFS(G265 = "KSSR","Kokurikulum Standard Sekolah Rendah",G265 = "KSSM","Kokurikulum Standard Sekolah Menengah",G265 = "KBDKBT","Kokurikulum Bersepadu Dini dan Kokurikulum Bersepadu Tahfiz",G265 = "SSeM","Sekolah Seni Malaysia",G265 = "KC","Kesusasteraan Cina",G265 = "KSSMPK","Pendidikan Khas",G265 = "MPEI","Mata Pelajaran Elektif Ikhtisas",G265 = "MPET","Mata Pelajaran Elektif Teknikal",G265 = "MPV","Mata Pelajaran Vokasional",G265 = "MPAK","Mata Pelajaran Aliran Kebangsaan")</f>
        <v>Mata Pelajaran Vokasional</v>
      </c>
      <c r="I265" s="9" t="str" cm="1">
        <f t="array" ref="I265">_xlfn.IFS(A265="SR","Sekolah Rendah",A265="SM","Sekolah Menengah")</f>
        <v>Sekolah Menengah</v>
      </c>
      <c r="J265" s="9" t="str" cm="1">
        <f t="array" ref="J265">_xlfn.SWITCH(B265,"T1","Tahun 1","T2","Tahun 2","T3","Tahun 3","T4","Tahun 4","T5","Tahun 5","T6","Tahun 6","TB1","Tingkatan 1","TB2","Tingkatan 2","TB3","Tingkatan 3","TA4","Tingkatan 4","TA5","Tingkatan 5")</f>
        <v>Tingkatan 5</v>
      </c>
      <c r="K265" s="9" t="b">
        <f>IF(COUNTIF(E265,"*DLP*"),TRUE)</f>
        <v>0</v>
      </c>
      <c r="L265" s="10" t="s">
        <v>130</v>
      </c>
    </row>
    <row r="266" spans="1:12" x14ac:dyDescent="0.3">
      <c r="A266" s="3" t="s">
        <v>8</v>
      </c>
      <c r="B266" s="4" t="str">
        <f>"TA5"</f>
        <v>TA5</v>
      </c>
      <c r="C266" s="4">
        <f>C265+1</f>
        <v>80</v>
      </c>
      <c r="D266" s="5" t="str" cm="1">
        <f t="array" ref="D266">A266&amp;B266&amp;_xlfn.IFS(C266 &lt; 10,"B00"&amp;C266,AND(C266 &gt;= 10,C266 &lt; 100),"B0"&amp;C266,C266 &gt;= 100,"B"&amp;C266)</f>
        <v>SMTA5B080</v>
      </c>
      <c r="E266" s="4" t="s">
        <v>92</v>
      </c>
      <c r="F266" s="5" t="str">
        <f>SUBSTITUTE(E266,"DLP"," ")</f>
        <v>Produksi Reka Tanda</v>
      </c>
      <c r="G266" s="4" t="s">
        <v>108</v>
      </c>
      <c r="H266" s="5" t="str" cm="1">
        <f t="array" ref="H266">_xlfn.IFS(G266 = "KSSR","Kokurikulum Standard Sekolah Rendah",G266 = "KSSM","Kokurikulum Standard Sekolah Menengah",G266 = "KBDKBT","Kokurikulum Bersepadu Dini dan Kokurikulum Bersepadu Tahfiz",G266 = "SSeM","Sekolah Seni Malaysia",G266 = "KC","Kesusasteraan Cina",G266 = "KSSMPK","Pendidikan Khas",G266 = "MPEI","Mata Pelajaran Elektif Ikhtisas",G266 = "MPET","Mata Pelajaran Elektif Teknikal",G266 = "MPV","Mata Pelajaran Vokasional",G266 = "MPAK","Mata Pelajaran Aliran Kebangsaan")</f>
        <v>Mata Pelajaran Vokasional</v>
      </c>
      <c r="I266" s="4" t="str" cm="1">
        <f t="array" ref="I266">_xlfn.IFS(A266="SR","Sekolah Rendah",A266="SM","Sekolah Menengah")</f>
        <v>Sekolah Menengah</v>
      </c>
      <c r="J266" s="4" t="str" cm="1">
        <f t="array" ref="J266">_xlfn.SWITCH(B266,"T1","Tahun 1","T2","Tahun 2","T3","Tahun 3","T4","Tahun 4","T5","Tahun 5","T6","Tahun 6","TB1","Tingkatan 1","TB2","Tingkatan 2","TB3","Tingkatan 3","TA4","Tingkatan 4","TA5","Tingkatan 5")</f>
        <v>Tingkatan 5</v>
      </c>
      <c r="K266" s="4" t="b">
        <f>IF(COUNTIF(E266,"*DLP*"),TRUE)</f>
        <v>0</v>
      </c>
      <c r="L266" s="7" t="s">
        <v>130</v>
      </c>
    </row>
    <row r="267" spans="1:12" x14ac:dyDescent="0.3">
      <c r="A267" s="8" t="s">
        <v>8</v>
      </c>
      <c r="B267" s="9" t="str">
        <f>"TA5"</f>
        <v>TA5</v>
      </c>
      <c r="C267" s="9">
        <f>C266+1</f>
        <v>81</v>
      </c>
      <c r="D267" s="6" t="str" cm="1">
        <f t="array" ref="D267">A267&amp;B267&amp;_xlfn.IFS(C267 &lt; 10,"B00"&amp;C267,AND(C267 &gt;= 10,C267 &lt; 100),"B0"&amp;C267,C267 &gt;= 100,"B"&amp;C267)</f>
        <v>SMTA5B081</v>
      </c>
      <c r="E267" s="9" t="s">
        <v>93</v>
      </c>
      <c r="F267" s="6" t="str">
        <f>SUBSTITUTE(E267,"DLP"," ")</f>
        <v>Reka Bentik Grafik Digital</v>
      </c>
      <c r="G267" s="9" t="s">
        <v>108</v>
      </c>
      <c r="H267" s="6" t="str" cm="1">
        <f t="array" ref="H267">_xlfn.IFS(G267 = "KSSR","Kokurikulum Standard Sekolah Rendah",G267 = "KSSM","Kokurikulum Standard Sekolah Menengah",G267 = "KBDKBT","Kokurikulum Bersepadu Dini dan Kokurikulum Bersepadu Tahfiz",G267 = "SSeM","Sekolah Seni Malaysia",G267 = "KC","Kesusasteraan Cina",G267 = "KSSMPK","Pendidikan Khas",G267 = "MPEI","Mata Pelajaran Elektif Ikhtisas",G267 = "MPET","Mata Pelajaran Elektif Teknikal",G267 = "MPV","Mata Pelajaran Vokasional",G267 = "MPAK","Mata Pelajaran Aliran Kebangsaan")</f>
        <v>Mata Pelajaran Vokasional</v>
      </c>
      <c r="I267" s="9" t="str" cm="1">
        <f t="array" ref="I267">_xlfn.IFS(A267="SR","Sekolah Rendah",A267="SM","Sekolah Menengah")</f>
        <v>Sekolah Menengah</v>
      </c>
      <c r="J267" s="9" t="str" cm="1">
        <f t="array" ref="J267">_xlfn.SWITCH(B267,"T1","Tahun 1","T2","Tahun 2","T3","Tahun 3","T4","Tahun 4","T5","Tahun 5","T6","Tahun 6","TB1","Tingkatan 1","TB2","Tingkatan 2","TB3","Tingkatan 3","TA4","Tingkatan 4","TA5","Tingkatan 5")</f>
        <v>Tingkatan 5</v>
      </c>
      <c r="K267" s="9" t="b">
        <f>IF(COUNTIF(E267,"*DLP*"),TRUE)</f>
        <v>0</v>
      </c>
      <c r="L267" s="10" t="s">
        <v>130</v>
      </c>
    </row>
    <row r="268" spans="1:12" x14ac:dyDescent="0.3">
      <c r="A268" s="3" t="s">
        <v>8</v>
      </c>
      <c r="B268" s="4" t="str">
        <f>"TA5"</f>
        <v>TA5</v>
      </c>
      <c r="C268" s="4">
        <f>C267+1</f>
        <v>82</v>
      </c>
      <c r="D268" s="5" t="str" cm="1">
        <f t="array" ref="D268">A268&amp;B268&amp;_xlfn.IFS(C268 &lt; 10,"B00"&amp;C268,AND(C268 &gt;= 10,C268 &lt; 100),"B0"&amp;C268,C268 &gt;= 100,"B"&amp;C268)</f>
        <v>SMTA5B082</v>
      </c>
      <c r="E268" s="4" t="s">
        <v>106</v>
      </c>
      <c r="F268" s="5" t="str">
        <f>SUBSTITUTE(E268,"DLP"," ")</f>
        <v>Rekaan dan Jahitan</v>
      </c>
      <c r="G268" s="4" t="s">
        <v>108</v>
      </c>
      <c r="H268" s="5" t="str" cm="1">
        <f t="array" ref="H268">_xlfn.IFS(G268 = "KSSR","Kokurikulum Standard Sekolah Rendah",G268 = "KSSM","Kokurikulum Standard Sekolah Menengah",G268 = "KBDKBT","Kokurikulum Bersepadu Dini dan Kokurikulum Bersepadu Tahfiz",G268 = "SSeM","Sekolah Seni Malaysia",G268 = "KC","Kesusasteraan Cina",G268 = "KSSMPK","Pendidikan Khas",G268 = "MPEI","Mata Pelajaran Elektif Ikhtisas",G268 = "MPET","Mata Pelajaran Elektif Teknikal",G268 = "MPV","Mata Pelajaran Vokasional",G268 = "MPAK","Mata Pelajaran Aliran Kebangsaan")</f>
        <v>Mata Pelajaran Vokasional</v>
      </c>
      <c r="I268" s="4" t="str" cm="1">
        <f t="array" ref="I268">_xlfn.IFS(A268="SR","Sekolah Rendah",A268="SM","Sekolah Menengah")</f>
        <v>Sekolah Menengah</v>
      </c>
      <c r="J268" s="4" t="str" cm="1">
        <f t="array" ref="J268">_xlfn.SWITCH(B268,"T1","Tahun 1","T2","Tahun 2","T3","Tahun 3","T4","Tahun 4","T5","Tahun 5","T6","Tahun 6","TB1","Tingkatan 1","TB2","Tingkatan 2","TB3","Tingkatan 3","TA4","Tingkatan 4","TA5","Tingkatan 5")</f>
        <v>Tingkatan 5</v>
      </c>
      <c r="K268" s="4" t="b">
        <f>IF(COUNTIF(E268,"*DLP*"),TRUE)</f>
        <v>0</v>
      </c>
      <c r="L268" s="7" t="s">
        <v>130</v>
      </c>
    </row>
    <row r="269" spans="1:12" x14ac:dyDescent="0.3">
      <c r="A269" s="8" t="s">
        <v>8</v>
      </c>
      <c r="B269" s="9" t="str">
        <f>"TA5"</f>
        <v>TA5</v>
      </c>
      <c r="C269" s="9">
        <f>C268+1</f>
        <v>83</v>
      </c>
      <c r="D269" s="6" t="str" cm="1">
        <f t="array" ref="D269">A269&amp;B269&amp;_xlfn.IFS(C269 &lt; 10,"B00"&amp;C269,AND(C269 &gt;= 10,C269 &lt; 100),"B0"&amp;C269,C269 &gt;= 100,"B"&amp;C269)</f>
        <v>SMTA5B083</v>
      </c>
      <c r="E269" s="9" t="s">
        <v>107</v>
      </c>
      <c r="F269" s="6" t="str">
        <f>SUBSTITUTE(E269,"DLP"," ")</f>
        <v>Tanaman Makanan</v>
      </c>
      <c r="G269" s="9" t="s">
        <v>108</v>
      </c>
      <c r="H269" s="6" t="str" cm="1">
        <f t="array" ref="H269">_xlfn.IFS(G269 = "KSSR","Kokurikulum Standard Sekolah Rendah",G269 = "KSSM","Kokurikulum Standard Sekolah Menengah",G269 = "KBDKBT","Kokurikulum Bersepadu Dini dan Kokurikulum Bersepadu Tahfiz",G269 = "SSeM","Sekolah Seni Malaysia",G269 = "KC","Kesusasteraan Cina",G269 = "KSSMPK","Pendidikan Khas",G269 = "MPEI","Mata Pelajaran Elektif Ikhtisas",G269 = "MPET","Mata Pelajaran Elektif Teknikal",G269 = "MPV","Mata Pelajaran Vokasional",G269 = "MPAK","Mata Pelajaran Aliran Kebangsaan")</f>
        <v>Mata Pelajaran Vokasional</v>
      </c>
      <c r="I269" s="9" t="str" cm="1">
        <f t="array" ref="I269">_xlfn.IFS(A269="SR","Sekolah Rendah",A269="SM","Sekolah Menengah")</f>
        <v>Sekolah Menengah</v>
      </c>
      <c r="J269" s="9" t="str" cm="1">
        <f t="array" ref="J269">_xlfn.SWITCH(B269,"T1","Tahun 1","T2","Tahun 2","T3","Tahun 3","T4","Tahun 4","T5","Tahun 5","T6","Tahun 6","TB1","Tingkatan 1","TB2","Tingkatan 2","TB3","Tingkatan 3","TA4","Tingkatan 4","TA5","Tingkatan 5")</f>
        <v>Tingkatan 5</v>
      </c>
      <c r="K269" s="9" t="b">
        <f>IF(COUNTIF(E269,"*DLP*"),TRUE)</f>
        <v>0</v>
      </c>
      <c r="L269" s="10" t="s">
        <v>130</v>
      </c>
    </row>
    <row r="270" spans="1:12" x14ac:dyDescent="0.3">
      <c r="A270" s="3" t="s">
        <v>8</v>
      </c>
      <c r="B270" s="4" t="str">
        <f>"TA5"</f>
        <v>TA5</v>
      </c>
      <c r="C270" s="4">
        <f>C269+1</f>
        <v>84</v>
      </c>
      <c r="D270" s="5" t="str" cm="1">
        <f t="array" ref="D270">A270&amp;B270&amp;_xlfn.IFS(C270 &lt; 10,"B00"&amp;C270,AND(C270 &gt;= 10,C270 &lt; 100),"B0"&amp;C270,C270 &gt;= 100,"B"&amp;C270)</f>
        <v>SMTA5B084</v>
      </c>
      <c r="E270" s="4" t="s">
        <v>73</v>
      </c>
      <c r="F270" s="5" t="str">
        <f>SUBSTITUTE(E270,"DLP"," ")</f>
        <v>Mingjia Xiaoshuoxuan</v>
      </c>
      <c r="G270" s="4" t="s">
        <v>74</v>
      </c>
      <c r="H270" s="5" t="str" cm="1">
        <f t="array" ref="H270">_xlfn.IFS(G270 = "KSSR","Kokurikulum Standard Sekolah Rendah",G270 = "KSSM","Kokurikulum Standard Sekolah Menengah",G270 = "KBDKBT","Kokurikulum Bersepadu Dini dan Kokurikulum Bersepadu Tahfiz",G270 = "SSeM","Sekolah Seni Malaysia",G270 = "KC","Kesusasteraan Cina",G270 = "KSSMPK","Pendidikan Khas",G270 = "MPEI","Mata Pelajaran Elektif Ikhtisas",G270 = "MPET","Mata Pelajaran Elektif Teknikal",G270 = "MPV","Mata Pelajaran Vokasional",G270 = "MPAK","Mata Pelajaran Aliran Kebangsaan")</f>
        <v>Kesusasteraan Cina</v>
      </c>
      <c r="I270" s="4" t="str" cm="1">
        <f t="array" ref="I270">_xlfn.IFS(A270="SR","Sekolah Rendah",A270="SM","Sekolah Menengah")</f>
        <v>Sekolah Menengah</v>
      </c>
      <c r="J270" s="4" t="str" cm="1">
        <f t="array" ref="J270">_xlfn.SWITCH(B270,"T1","Tahun 1","T2","Tahun 2","T3","Tahun 3","T4","Tahun 4","T5","Tahun 5","T6","Tahun 6","TB1","Tingkatan 1","TB2","Tingkatan 2","TB3","Tingkatan 3","TA4","Tingkatan 4","TA5","Tingkatan 5")</f>
        <v>Tingkatan 5</v>
      </c>
      <c r="K270" s="4" t="b">
        <f>IF(COUNTIF(E270,"*DLP*"),TRUE)</f>
        <v>0</v>
      </c>
      <c r="L270" s="7" t="s">
        <v>130</v>
      </c>
    </row>
    <row r="271" spans="1:12" x14ac:dyDescent="0.3">
      <c r="A271" s="8" t="s">
        <v>8</v>
      </c>
      <c r="B271" s="9" t="str">
        <f>"TA5"</f>
        <v>TA5</v>
      </c>
      <c r="C271" s="9">
        <f>C270+1</f>
        <v>85</v>
      </c>
      <c r="D271" s="6" t="str" cm="1">
        <f t="array" ref="D271">A271&amp;B271&amp;_xlfn.IFS(C271 &lt; 10,"B00"&amp;C271,AND(C271 &gt;= 10,C271 &lt; 100),"B0"&amp;C271,C271 &gt;= 100,"B"&amp;C271)</f>
        <v>SMTA5B085</v>
      </c>
      <c r="E271" s="9" t="s">
        <v>75</v>
      </c>
      <c r="F271" s="6" t="str">
        <f>SUBSTITUTE(E271,"DLP"," ")</f>
        <v>Qiyuan</v>
      </c>
      <c r="G271" s="9" t="s">
        <v>74</v>
      </c>
      <c r="H271" s="6" t="str" cm="1">
        <f t="array" ref="H271">_xlfn.IFS(G271 = "KSSR","Kokurikulum Standard Sekolah Rendah",G271 = "KSSM","Kokurikulum Standard Sekolah Menengah",G271 = "KBDKBT","Kokurikulum Bersepadu Dini dan Kokurikulum Bersepadu Tahfiz",G271 = "SSeM","Sekolah Seni Malaysia",G271 = "KC","Kesusasteraan Cina",G271 = "KSSMPK","Pendidikan Khas",G271 = "MPEI","Mata Pelajaran Elektif Ikhtisas",G271 = "MPET","Mata Pelajaran Elektif Teknikal",G271 = "MPV","Mata Pelajaran Vokasional",G271 = "MPAK","Mata Pelajaran Aliran Kebangsaan")</f>
        <v>Kesusasteraan Cina</v>
      </c>
      <c r="I271" s="9" t="str" cm="1">
        <f t="array" ref="I271">_xlfn.IFS(A271="SR","Sekolah Rendah",A271="SM","Sekolah Menengah")</f>
        <v>Sekolah Menengah</v>
      </c>
      <c r="J271" s="9" t="str" cm="1">
        <f t="array" ref="J271">_xlfn.SWITCH(B271,"T1","Tahun 1","T2","Tahun 2","T3","Tahun 3","T4","Tahun 4","T5","Tahun 5","T6","Tahun 6","TB1","Tingkatan 1","TB2","Tingkatan 2","TB3","Tingkatan 3","TA4","Tingkatan 4","TA5","Tingkatan 5")</f>
        <v>Tingkatan 5</v>
      </c>
      <c r="K271" s="9" t="b">
        <f>IF(COUNTIF(E271,"*DLP*"),TRUE)</f>
        <v>0</v>
      </c>
      <c r="L271" s="10" t="s">
        <v>130</v>
      </c>
    </row>
    <row r="272" spans="1:12" x14ac:dyDescent="0.3">
      <c r="A272" s="3" t="s">
        <v>8</v>
      </c>
      <c r="B272" s="4" t="str">
        <f>"TA5"</f>
        <v>TA5</v>
      </c>
      <c r="C272" s="4">
        <f>C271+1</f>
        <v>86</v>
      </c>
      <c r="D272" s="5" t="str" cm="1">
        <f t="array" ref="D272">A272&amp;B272&amp;_xlfn.IFS(C272 &lt; 10,"B00"&amp;C272,AND(C272 &gt;= 10,C272 &lt; 100),"B0"&amp;C272,C272 &gt;= 100,"B"&amp;C272)</f>
        <v>SMTA5B086</v>
      </c>
      <c r="E272" s="4" t="s">
        <v>76</v>
      </c>
      <c r="F272" s="5" t="str">
        <f>SUBSTITUTE(E272,"DLP"," ")</f>
        <v>Wenxuan</v>
      </c>
      <c r="G272" s="4" t="s">
        <v>74</v>
      </c>
      <c r="H272" s="5" t="str" cm="1">
        <f t="array" ref="H272">_xlfn.IFS(G272 = "KSSR","Kokurikulum Standard Sekolah Rendah",G272 = "KSSM","Kokurikulum Standard Sekolah Menengah",G272 = "KBDKBT","Kokurikulum Bersepadu Dini dan Kokurikulum Bersepadu Tahfiz",G272 = "SSeM","Sekolah Seni Malaysia",G272 = "KC","Kesusasteraan Cina",G272 = "KSSMPK","Pendidikan Khas",G272 = "MPEI","Mata Pelajaran Elektif Ikhtisas",G272 = "MPET","Mata Pelajaran Elektif Teknikal",G272 = "MPV","Mata Pelajaran Vokasional",G272 = "MPAK","Mata Pelajaran Aliran Kebangsaan")</f>
        <v>Kesusasteraan Cina</v>
      </c>
      <c r="I272" s="4" t="str" cm="1">
        <f t="array" ref="I272">_xlfn.IFS(A272="SR","Sekolah Rendah",A272="SM","Sekolah Menengah")</f>
        <v>Sekolah Menengah</v>
      </c>
      <c r="J272" s="4" t="str" cm="1">
        <f t="array" ref="J272">_xlfn.SWITCH(B272,"T1","Tahun 1","T2","Tahun 2","T3","Tahun 3","T4","Tahun 4","T5","Tahun 5","T6","Tahun 6","TB1","Tingkatan 1","TB2","Tingkatan 2","TB3","Tingkatan 3","TA4","Tingkatan 4","TA5","Tingkatan 5")</f>
        <v>Tingkatan 5</v>
      </c>
      <c r="K272" s="4" t="b">
        <f>IF(COUNTIF(E272,"*DLP*"),TRUE)</f>
        <v>0</v>
      </c>
      <c r="L272" s="7" t="s">
        <v>130</v>
      </c>
    </row>
    <row r="273" spans="1:12" x14ac:dyDescent="0.3">
      <c r="A273" s="8" t="s">
        <v>8</v>
      </c>
      <c r="B273" s="9" t="str">
        <f>"TA5"</f>
        <v>TA5</v>
      </c>
      <c r="C273" s="9">
        <f>C272+1</f>
        <v>87</v>
      </c>
      <c r="D273" s="6" t="str" cm="1">
        <f t="array" ref="D273">A273&amp;B273&amp;_xlfn.IFS(C273 &lt; 10,"B00"&amp;C273,AND(C273 &gt;= 10,C273 &lt; 100),"B0"&amp;C273,C273 &gt;= 100,"B"&amp;C273)</f>
        <v>SMTA5B087</v>
      </c>
      <c r="E273" s="9" t="s">
        <v>78</v>
      </c>
      <c r="F273" s="6" t="str">
        <f>SUBSTITUTE(E273,"DLP"," ")</f>
        <v>Bahasa Melayu Komunikasi</v>
      </c>
      <c r="G273" s="9" t="s">
        <v>80</v>
      </c>
      <c r="H273" s="6" t="str" cm="1">
        <f t="array" ref="H273">_xlfn.IFS(G273 = "KSSR","Kokurikulum Standard Sekolah Rendah",G273 = "KSSM","Kokurikulum Standard Sekolah Menengah",G273 = "KBDKBT","Kokurikulum Bersepadu Dini dan Kokurikulum Bersepadu Tahfiz",G273 = "SSeM","Sekolah Seni Malaysia",G273 = "KC","Kesusasteraan Cina",G273 = "KSSMPK","Pendidikan Khas",G273 = "MPEI","Mata Pelajaran Elektif Ikhtisas",G273 = "MPET","Mata Pelajaran Elektif Teknikal",G273 = "MPV","Mata Pelajaran Vokasional",G273 = "MPAK","Mata Pelajaran Aliran Kebangsaan")</f>
        <v>Pendidikan Khas</v>
      </c>
      <c r="I273" s="9" t="str" cm="1">
        <f t="array" ref="I273">_xlfn.IFS(A273="SR","Sekolah Rendah",A273="SM","Sekolah Menengah")</f>
        <v>Sekolah Menengah</v>
      </c>
      <c r="J273" s="9" t="str" cm="1">
        <f t="array" ref="J273">_xlfn.SWITCH(B273,"T1","Tahun 1","T2","Tahun 2","T3","Tahun 3","T4","Tahun 4","T5","Tahun 5","T6","Tahun 6","TB1","Tingkatan 1","TB2","Tingkatan 2","TB3","Tingkatan 3","TA4","Tingkatan 4","TA5","Tingkatan 5")</f>
        <v>Tingkatan 5</v>
      </c>
      <c r="K273" s="9" t="b">
        <f>IF(COUNTIF(E273,"*DLP*"),TRUE)</f>
        <v>0</v>
      </c>
      <c r="L273" s="10" t="s">
        <v>130</v>
      </c>
    </row>
    <row r="274" spans="1:12" x14ac:dyDescent="0.3">
      <c r="A274" s="3" t="s">
        <v>8</v>
      </c>
      <c r="B274" s="4" t="str">
        <f>"TA5"</f>
        <v>TA5</v>
      </c>
      <c r="C274" s="4">
        <f>C273+1</f>
        <v>88</v>
      </c>
      <c r="D274" s="5" t="str" cm="1">
        <f t="array" ref="D274">A274&amp;B274&amp;_xlfn.IFS(C274 &lt; 10,"B00"&amp;C274,AND(C274 &gt;= 10,C274 &lt; 100),"B0"&amp;C274,C274 &gt;= 100,"B"&amp;C274)</f>
        <v>SMTA5B088</v>
      </c>
      <c r="E274" s="4" t="s">
        <v>79</v>
      </c>
      <c r="F274" s="5" t="str">
        <f>SUBSTITUTE(E274,"DLP"," ")</f>
        <v>English For Communication</v>
      </c>
      <c r="G274" s="4" t="s">
        <v>80</v>
      </c>
      <c r="H274" s="5" t="str" cm="1">
        <f t="array" ref="H274">_xlfn.IFS(G274 = "KSSR","Kokurikulum Standard Sekolah Rendah",G274 = "KSSM","Kokurikulum Standard Sekolah Menengah",G274 = "KBDKBT","Kokurikulum Bersepadu Dini dan Kokurikulum Bersepadu Tahfiz",G274 = "SSeM","Sekolah Seni Malaysia",G274 = "KC","Kesusasteraan Cina",G274 = "KSSMPK","Pendidikan Khas",G274 = "MPEI","Mata Pelajaran Elektif Ikhtisas",G274 = "MPET","Mata Pelajaran Elektif Teknikal",G274 = "MPV","Mata Pelajaran Vokasional",G274 = "MPAK","Mata Pelajaran Aliran Kebangsaan")</f>
        <v>Pendidikan Khas</v>
      </c>
      <c r="I274" s="4" t="str" cm="1">
        <f t="array" ref="I274">_xlfn.IFS(A274="SR","Sekolah Rendah",A274="SM","Sekolah Menengah")</f>
        <v>Sekolah Menengah</v>
      </c>
      <c r="J274" s="4" t="str" cm="1">
        <f t="array" ref="J274">_xlfn.SWITCH(B274,"T1","Tahun 1","T2","Tahun 2","T3","Tahun 3","T4","Tahun 4","T5","Tahun 5","T6","Tahun 6","TB1","Tingkatan 1","TB2","Tingkatan 2","TB3","Tingkatan 3","TA4","Tingkatan 4","TA5","Tingkatan 5")</f>
        <v>Tingkatan 5</v>
      </c>
      <c r="K274" s="4" t="b">
        <f>IF(COUNTIF(E274,"*DLP*"),TRUE)</f>
        <v>0</v>
      </c>
      <c r="L274" s="7" t="s">
        <v>130</v>
      </c>
    </row>
    <row r="275" spans="1:12" x14ac:dyDescent="0.3">
      <c r="A275" s="8" t="s">
        <v>8</v>
      </c>
      <c r="B275" s="9" t="str">
        <f>"TA5"</f>
        <v>TA5</v>
      </c>
      <c r="C275" s="9">
        <f>C274+1</f>
        <v>89</v>
      </c>
      <c r="D275" s="6" t="str" cm="1">
        <f t="array" ref="D275">A275&amp;B275&amp;_xlfn.IFS(C275 &lt; 10,"B00"&amp;C275,AND(C275 &gt;= 10,C275 &lt; 100),"B0"&amp;C275,C275 &gt;= 100,"B"&amp;C275)</f>
        <v>SMTA5B089</v>
      </c>
      <c r="E275" s="9" t="s">
        <v>11</v>
      </c>
      <c r="F275" s="6" t="str">
        <f>SUBSTITUTE(E275,"DLP"," ")</f>
        <v>Matematik</v>
      </c>
      <c r="G275" s="9" t="s">
        <v>80</v>
      </c>
      <c r="H275" s="6" t="str" cm="1">
        <f t="array" ref="H275">_xlfn.IFS(G275 = "KSSR","Kokurikulum Standard Sekolah Rendah",G275 = "KSSM","Kokurikulum Standard Sekolah Menengah",G275 = "KBDKBT","Kokurikulum Bersepadu Dini dan Kokurikulum Bersepadu Tahfiz",G275 = "SSeM","Sekolah Seni Malaysia",G275 = "KC","Kesusasteraan Cina",G275 = "KSSMPK","Pendidikan Khas",G275 = "MPEI","Mata Pelajaran Elektif Ikhtisas",G275 = "MPET","Mata Pelajaran Elektif Teknikal",G275 = "MPV","Mata Pelajaran Vokasional",G275 = "MPAK","Mata Pelajaran Aliran Kebangsaan")</f>
        <v>Pendidikan Khas</v>
      </c>
      <c r="I275" s="9" t="str" cm="1">
        <f t="array" ref="I275">_xlfn.IFS(A275="SR","Sekolah Rendah",A275="SM","Sekolah Menengah")</f>
        <v>Sekolah Menengah</v>
      </c>
      <c r="J275" s="9" t="str" cm="1">
        <f t="array" ref="J275">_xlfn.SWITCH(B275,"T1","Tahun 1","T2","Tahun 2","T3","Tahun 3","T4","Tahun 4","T5","Tahun 5","T6","Tahun 6","TB1","Tingkatan 1","TB2","Tingkatan 2","TB3","Tingkatan 3","TA4","Tingkatan 4","TA5","Tingkatan 5")</f>
        <v>Tingkatan 5</v>
      </c>
      <c r="K275" s="9" t="b">
        <f>IF(COUNTIF(E275,"*DLP*"),TRUE)</f>
        <v>0</v>
      </c>
      <c r="L275" s="10" t="s">
        <v>130</v>
      </c>
    </row>
    <row r="276" spans="1:12" x14ac:dyDescent="0.3">
      <c r="A276" s="3" t="s">
        <v>8</v>
      </c>
      <c r="B276" s="4" t="str">
        <f>"TA5"</f>
        <v>TA5</v>
      </c>
      <c r="C276" s="4">
        <f>C275+1</f>
        <v>90</v>
      </c>
      <c r="D276" s="5" t="str" cm="1">
        <f t="array" ref="D276">A276&amp;B276&amp;_xlfn.IFS(C276 &lt; 10,"B00"&amp;C276,AND(C276 &gt;= 10,C276 &lt; 100),"B0"&amp;C276,C276 &gt;= 100,"B"&amp;C276)</f>
        <v>SMTA5B090</v>
      </c>
      <c r="E276" s="4" t="s">
        <v>25</v>
      </c>
      <c r="F276" s="5" t="str">
        <f>SUBSTITUTE(E276,"DLP"," ")</f>
        <v>Pendidikan Islam</v>
      </c>
      <c r="G276" s="4" t="s">
        <v>80</v>
      </c>
      <c r="H276" s="5" t="str" cm="1">
        <f t="array" ref="H276">_xlfn.IFS(G276 = "KSSR","Kokurikulum Standard Sekolah Rendah",G276 = "KSSM","Kokurikulum Standard Sekolah Menengah",G276 = "KBDKBT","Kokurikulum Bersepadu Dini dan Kokurikulum Bersepadu Tahfiz",G276 = "SSeM","Sekolah Seni Malaysia",G276 = "KC","Kesusasteraan Cina",G276 = "KSSMPK","Pendidikan Khas",G276 = "MPEI","Mata Pelajaran Elektif Ikhtisas",G276 = "MPET","Mata Pelajaran Elektif Teknikal",G276 = "MPV","Mata Pelajaran Vokasional",G276 = "MPAK","Mata Pelajaran Aliran Kebangsaan")</f>
        <v>Pendidikan Khas</v>
      </c>
      <c r="I276" s="4" t="str" cm="1">
        <f t="array" ref="I276">_xlfn.IFS(A276="SR","Sekolah Rendah",A276="SM","Sekolah Menengah")</f>
        <v>Sekolah Menengah</v>
      </c>
      <c r="J276" s="4" t="str" cm="1">
        <f t="array" ref="J276">_xlfn.SWITCH(B276,"T1","Tahun 1","T2","Tahun 2","T3","Tahun 3","T4","Tahun 4","T5","Tahun 5","T6","Tahun 6","TB1","Tingkatan 1","TB2","Tingkatan 2","TB3","Tingkatan 3","TA4","Tingkatan 4","TA5","Tingkatan 5")</f>
        <v>Tingkatan 5</v>
      </c>
      <c r="K276" s="4" t="b">
        <f>IF(COUNTIF(E276,"*DLP*"),TRUE)</f>
        <v>0</v>
      </c>
      <c r="L276" s="7" t="s">
        <v>130</v>
      </c>
    </row>
    <row r="277" spans="1:12" x14ac:dyDescent="0.3">
      <c r="A277" s="8" t="s">
        <v>8</v>
      </c>
      <c r="B277" s="9" t="str">
        <f>"TA5"</f>
        <v>TA5</v>
      </c>
      <c r="C277" s="9">
        <f>C276+1</f>
        <v>91</v>
      </c>
      <c r="D277" s="6" t="str" cm="1">
        <f t="array" ref="D277">A277&amp;B277&amp;_xlfn.IFS(C277 &lt; 10,"B00"&amp;C277,AND(C277 &gt;= 10,C277 &lt; 100),"B0"&amp;C277,C277 &gt;= 100,"B"&amp;C277)</f>
        <v>SMTA5B091</v>
      </c>
      <c r="E277" s="9" t="s">
        <v>26</v>
      </c>
      <c r="F277" s="6" t="str">
        <f>SUBSTITUTE(E277,"DLP"," ")</f>
        <v>Pendidikan Jasmani dan Pendidikan Kesihatan</v>
      </c>
      <c r="G277" s="9" t="s">
        <v>80</v>
      </c>
      <c r="H277" s="6" t="str" cm="1">
        <f t="array" ref="H277">_xlfn.IFS(G277 = "KSSR","Kokurikulum Standard Sekolah Rendah",G277 = "KSSM","Kokurikulum Standard Sekolah Menengah",G277 = "KBDKBT","Kokurikulum Bersepadu Dini dan Kokurikulum Bersepadu Tahfiz",G277 = "SSeM","Sekolah Seni Malaysia",G277 = "KC","Kesusasteraan Cina",G277 = "KSSMPK","Pendidikan Khas",G277 = "MPEI","Mata Pelajaran Elektif Ikhtisas",G277 = "MPET","Mata Pelajaran Elektif Teknikal",G277 = "MPV","Mata Pelajaran Vokasional",G277 = "MPAK","Mata Pelajaran Aliran Kebangsaan")</f>
        <v>Pendidikan Khas</v>
      </c>
      <c r="I277" s="9" t="str" cm="1">
        <f t="array" ref="I277">_xlfn.IFS(A277="SR","Sekolah Rendah",A277="SM","Sekolah Menengah")</f>
        <v>Sekolah Menengah</v>
      </c>
      <c r="J277" s="9" t="str" cm="1">
        <f t="array" ref="J277">_xlfn.SWITCH(B277,"T1","Tahun 1","T2","Tahun 2","T3","Tahun 3","T4","Tahun 4","T5","Tahun 5","T6","Tahun 6","TB1","Tingkatan 1","TB2","Tingkatan 2","TB3","Tingkatan 3","TA4","Tingkatan 4","TA5","Tingkatan 5")</f>
        <v>Tingkatan 5</v>
      </c>
      <c r="K277" s="9" t="b">
        <f>IF(COUNTIF(E277,"*DLP*"),TRUE)</f>
        <v>0</v>
      </c>
      <c r="L277" s="10" t="s">
        <v>130</v>
      </c>
    </row>
    <row r="278" spans="1:12" x14ac:dyDescent="0.3">
      <c r="A278" s="3" t="s">
        <v>8</v>
      </c>
      <c r="B278" s="4" t="str">
        <f>"TA5"</f>
        <v>TA5</v>
      </c>
      <c r="C278" s="4">
        <f>C277+1</f>
        <v>92</v>
      </c>
      <c r="D278" s="5" t="str" cm="1">
        <f t="array" ref="D278">A278&amp;B278&amp;_xlfn.IFS(C278 &lt; 10,"B00"&amp;C278,AND(C278 &gt;= 10,C278 &lt; 100),"B0"&amp;C278,C278 &gt;= 100,"B"&amp;C278)</f>
        <v>SMTA5B092</v>
      </c>
      <c r="E278" s="4" t="s">
        <v>27</v>
      </c>
      <c r="F278" s="5" t="str">
        <f>SUBSTITUTE(E278,"DLP"," ")</f>
        <v>Pendidikan Moral</v>
      </c>
      <c r="G278" s="4" t="s">
        <v>80</v>
      </c>
      <c r="H278" s="5" t="str" cm="1">
        <f t="array" ref="H278">_xlfn.IFS(G278 = "KSSR","Kokurikulum Standard Sekolah Rendah",G278 = "KSSM","Kokurikulum Standard Sekolah Menengah",G278 = "KBDKBT","Kokurikulum Bersepadu Dini dan Kokurikulum Bersepadu Tahfiz",G278 = "SSeM","Sekolah Seni Malaysia",G278 = "KC","Kesusasteraan Cina",G278 = "KSSMPK","Pendidikan Khas",G278 = "MPEI","Mata Pelajaran Elektif Ikhtisas",G278 = "MPET","Mata Pelajaran Elektif Teknikal",G278 = "MPV","Mata Pelajaran Vokasional",G278 = "MPAK","Mata Pelajaran Aliran Kebangsaan")</f>
        <v>Pendidikan Khas</v>
      </c>
      <c r="I278" s="4" t="str" cm="1">
        <f t="array" ref="I278">_xlfn.IFS(A278="SR","Sekolah Rendah",A278="SM","Sekolah Menengah")</f>
        <v>Sekolah Menengah</v>
      </c>
      <c r="J278" s="4" t="str" cm="1">
        <f t="array" ref="J278">_xlfn.SWITCH(B278,"T1","Tahun 1","T2","Tahun 2","T3","Tahun 3","T4","Tahun 4","T5","Tahun 5","T6","Tahun 6","TB1","Tingkatan 1","TB2","Tingkatan 2","TB3","Tingkatan 3","TA4","Tingkatan 4","TA5","Tingkatan 5")</f>
        <v>Tingkatan 5</v>
      </c>
      <c r="K278" s="4" t="b">
        <f>IF(COUNTIF(E278,"*DLP*"),TRUE)</f>
        <v>0</v>
      </c>
      <c r="L278" s="7" t="s">
        <v>130</v>
      </c>
    </row>
    <row r="279" spans="1:12" x14ac:dyDescent="0.3">
      <c r="A279" s="8" t="s">
        <v>8</v>
      </c>
      <c r="B279" s="9" t="str">
        <f>"TA5"</f>
        <v>TA5</v>
      </c>
      <c r="C279" s="9">
        <f>C278+1</f>
        <v>93</v>
      </c>
      <c r="D279" s="6" t="str" cm="1">
        <f t="array" ref="D279">A279&amp;B279&amp;_xlfn.IFS(C279 &lt; 10,"B00"&amp;C279,AND(C279 &gt;= 10,C279 &lt; 100),"B0"&amp;C279,C279 &gt;= 100,"B"&amp;C279)</f>
        <v>SMTA5B093</v>
      </c>
      <c r="E279" s="9" t="s">
        <v>47</v>
      </c>
      <c r="F279" s="6" t="str">
        <f>SUBSTITUTE(E279,"DLP"," ")</f>
        <v>Pendidikan Muzik</v>
      </c>
      <c r="G279" s="9" t="s">
        <v>80</v>
      </c>
      <c r="H279" s="6" t="str" cm="1">
        <f t="array" ref="H279">_xlfn.IFS(G279 = "KSSR","Kokurikulum Standard Sekolah Rendah",G279 = "KSSM","Kokurikulum Standard Sekolah Menengah",G279 = "KBDKBT","Kokurikulum Bersepadu Dini dan Kokurikulum Bersepadu Tahfiz",G279 = "SSeM","Sekolah Seni Malaysia",G279 = "KC","Kesusasteraan Cina",G279 = "KSSMPK","Pendidikan Khas",G279 = "MPEI","Mata Pelajaran Elektif Ikhtisas",G279 = "MPET","Mata Pelajaran Elektif Teknikal",G279 = "MPV","Mata Pelajaran Vokasional",G279 = "MPAK","Mata Pelajaran Aliran Kebangsaan")</f>
        <v>Pendidikan Khas</v>
      </c>
      <c r="I279" s="9" t="str" cm="1">
        <f t="array" ref="I279">_xlfn.IFS(A279="SR","Sekolah Rendah",A279="SM","Sekolah Menengah")</f>
        <v>Sekolah Menengah</v>
      </c>
      <c r="J279" s="9" t="str" cm="1">
        <f t="array" ref="J279">_xlfn.SWITCH(B279,"T1","Tahun 1","T2","Tahun 2","T3","Tahun 3","T4","Tahun 4","T5","Tahun 5","T6","Tahun 6","TB1","Tingkatan 1","TB2","Tingkatan 2","TB3","Tingkatan 3","TA4","Tingkatan 4","TA5","Tingkatan 5")</f>
        <v>Tingkatan 5</v>
      </c>
      <c r="K279" s="9" t="b">
        <f>IF(COUNTIF(E279,"*DLP*"),TRUE)</f>
        <v>0</v>
      </c>
      <c r="L279" s="10" t="s">
        <v>130</v>
      </c>
    </row>
    <row r="280" spans="1:12" x14ac:dyDescent="0.3">
      <c r="A280" s="3" t="s">
        <v>8</v>
      </c>
      <c r="B280" s="4" t="str">
        <f>"TA5"</f>
        <v>TA5</v>
      </c>
      <c r="C280" s="4">
        <f>C279+1</f>
        <v>94</v>
      </c>
      <c r="D280" s="5" t="str" cm="1">
        <f t="array" ref="D280">A280&amp;B280&amp;_xlfn.IFS(C280 &lt; 10,"B00"&amp;C280,AND(C280 &gt;= 10,C280 &lt; 100),"B0"&amp;C280,C280 &gt;= 100,"B"&amp;C280)</f>
        <v>SMTA5B094</v>
      </c>
      <c r="E280" s="4" t="s">
        <v>122</v>
      </c>
      <c r="F280" s="5" t="str">
        <f>SUBSTITUTE(E280,"DLP"," ")</f>
        <v>Pendidikan Sains, Sosial dan Alam Sekitar</v>
      </c>
      <c r="G280" s="4" t="s">
        <v>80</v>
      </c>
      <c r="H280" s="5" t="str" cm="1">
        <f t="array" ref="H280">_xlfn.IFS(G280 = "KSSR","Kokurikulum Standard Sekolah Rendah",G280 = "KSSM","Kokurikulum Standard Sekolah Menengah",G280 = "KBDKBT","Kokurikulum Bersepadu Dini dan Kokurikulum Bersepadu Tahfiz",G280 = "SSeM","Sekolah Seni Malaysia",G280 = "KC","Kesusasteraan Cina",G280 = "KSSMPK","Pendidikan Khas",G280 = "MPEI","Mata Pelajaran Elektif Ikhtisas",G280 = "MPET","Mata Pelajaran Elektif Teknikal",G280 = "MPV","Mata Pelajaran Vokasional",G280 = "MPAK","Mata Pelajaran Aliran Kebangsaan")</f>
        <v>Pendidikan Khas</v>
      </c>
      <c r="I280" s="4" t="str" cm="1">
        <f t="array" ref="I280">_xlfn.IFS(A280="SR","Sekolah Rendah",A280="SM","Sekolah Menengah")</f>
        <v>Sekolah Menengah</v>
      </c>
      <c r="J280" s="4" t="str" cm="1">
        <f t="array" ref="J280">_xlfn.SWITCH(B280,"T1","Tahun 1","T2","Tahun 2","T3","Tahun 3","T4","Tahun 4","T5","Tahun 5","T6","Tahun 6","TB1","Tingkatan 1","TB2","Tingkatan 2","TB3","Tingkatan 3","TA4","Tingkatan 4","TA5","Tingkatan 5")</f>
        <v>Tingkatan 5</v>
      </c>
      <c r="K280" s="4" t="b">
        <f>IF(COUNTIF(E280,"*DLP*"),TRUE)</f>
        <v>0</v>
      </c>
      <c r="L280" s="7" t="s">
        <v>130</v>
      </c>
    </row>
    <row r="281" spans="1:12" x14ac:dyDescent="0.3">
      <c r="A281" s="12" t="s">
        <v>8</v>
      </c>
      <c r="B281" s="12" t="str">
        <f>"TA5"</f>
        <v>TA5</v>
      </c>
      <c r="C281" s="9">
        <f>C280+1</f>
        <v>95</v>
      </c>
      <c r="D281" s="15" t="str" cm="1">
        <f t="array" ref="D281">A281&amp;B281&amp;_xlfn.IFS(C281 &lt; 10,"B00"&amp;C281,AND(C281 &gt;= 10,C281 &lt; 100),"B0"&amp;C281,C281 &gt;= 100,"B"&amp;C281)</f>
        <v>SMTA5B095</v>
      </c>
      <c r="E281" s="12" t="s">
        <v>24</v>
      </c>
      <c r="F281" s="15" t="str">
        <f>SUBSTITUTE(E281,"DLP"," ")</f>
        <v>Pendidikan Seni Visual</v>
      </c>
      <c r="G281" s="12" t="s">
        <v>80</v>
      </c>
      <c r="H281" s="15" t="str" cm="1">
        <f t="array" ref="H281">_xlfn.IFS(G281 = "KSSR","Kokurikulum Standard Sekolah Rendah",G281 = "KSSM","Kokurikulum Standard Sekolah Menengah",G281 = "KBDKBT","Kokurikulum Bersepadu Dini dan Kokurikulum Bersepadu Tahfiz",G281 = "SSeM","Sekolah Seni Malaysia",G281 = "KC","Kesusasteraan Cina",G281 = "KSSMPK","Pendidikan Khas",G281 = "MPEI","Mata Pelajaran Elektif Ikhtisas",G281 = "MPET","Mata Pelajaran Elektif Teknikal",G281 = "MPV","Mata Pelajaran Vokasional",G281 = "MPAK","Mata Pelajaran Aliran Kebangsaan")</f>
        <v>Pendidikan Khas</v>
      </c>
      <c r="I281" s="12" t="str" cm="1">
        <f t="array" ref="I281">_xlfn.IFS(A281="SR","Sekolah Rendah",A281="SM","Sekolah Menengah")</f>
        <v>Sekolah Menengah</v>
      </c>
      <c r="J281" s="12" t="str" cm="1">
        <f t="array" ref="J281">_xlfn.SWITCH(B281,"T1","Tahun 1","T2","Tahun 2","T3","Tahun 3","T4","Tahun 4","T5","Tahun 5","T6","Tahun 6","TB1","Tingkatan 1","TB2","Tingkatan 2","TB3","Tingkatan 3","TA4","Tingkatan 4","TA5","Tingkatan 5")</f>
        <v>Tingkatan 5</v>
      </c>
      <c r="K281" s="12" t="b">
        <f>IF(COUNTIF(E281,"*DLP*"),TRUE)</f>
        <v>0</v>
      </c>
      <c r="L281" s="12" t="s">
        <v>130</v>
      </c>
    </row>
    <row r="282" spans="1:12" x14ac:dyDescent="0.3">
      <c r="D282" s="2"/>
      <c r="F282" s="2"/>
      <c r="H282" s="2"/>
      <c r="J282" s="1"/>
    </row>
    <row r="283" spans="1:12" x14ac:dyDescent="0.3">
      <c r="D283" s="2"/>
      <c r="F283" s="2"/>
      <c r="H283" s="2"/>
      <c r="J283" s="1"/>
    </row>
    <row r="284" spans="1:12" x14ac:dyDescent="0.3">
      <c r="D284" s="2"/>
      <c r="F284" s="2"/>
      <c r="H284" s="2"/>
      <c r="J284" s="1"/>
    </row>
    <row r="285" spans="1:12" x14ac:dyDescent="0.3">
      <c r="D285" s="2"/>
      <c r="F285" s="2"/>
      <c r="H285" s="2"/>
      <c r="J285" s="1"/>
    </row>
    <row r="286" spans="1:12" x14ac:dyDescent="0.3">
      <c r="D286" s="2"/>
      <c r="F286" s="2"/>
      <c r="H286" s="2"/>
      <c r="J286" s="1"/>
    </row>
    <row r="287" spans="1:12" x14ac:dyDescent="0.3">
      <c r="D287" s="2"/>
      <c r="F287" s="2"/>
      <c r="H287" s="2"/>
      <c r="J287" s="1"/>
    </row>
    <row r="288" spans="1:12" x14ac:dyDescent="0.3">
      <c r="D288" s="2"/>
      <c r="F288" s="2"/>
      <c r="H288" s="2"/>
      <c r="J288" s="1"/>
    </row>
    <row r="289" spans="4:10" x14ac:dyDescent="0.3">
      <c r="D289" s="2"/>
      <c r="F289" s="2"/>
      <c r="H289" s="2"/>
      <c r="J289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A653-6CF9-4A39-A49F-F605B7EA5DA1}">
  <dimension ref="A1:L289"/>
  <sheetViews>
    <sheetView workbookViewId="0">
      <selection sqref="A1:L289"/>
    </sheetView>
  </sheetViews>
  <sheetFormatPr defaultRowHeight="14.4" x14ac:dyDescent="0.3"/>
  <cols>
    <col min="1" max="1" width="13" bestFit="1" customWidth="1"/>
    <col min="2" max="2" width="14" bestFit="1" customWidth="1"/>
    <col min="3" max="3" width="9.21875" bestFit="1" customWidth="1"/>
    <col min="4" max="4" width="10.77734375" bestFit="1" customWidth="1"/>
    <col min="5" max="6" width="38.88671875" bestFit="1" customWidth="1"/>
    <col min="7" max="7" width="12.6640625" bestFit="1" customWidth="1"/>
    <col min="8" max="8" width="52.88671875" bestFit="1" customWidth="1"/>
    <col min="9" max="9" width="18.109375" bestFit="1" customWidth="1"/>
    <col min="10" max="10" width="19.109375" bestFit="1" customWidth="1"/>
    <col min="11" max="11" width="11.109375" bestFit="1" customWidth="1"/>
    <col min="12" max="12" width="12.77734375" bestFit="1" customWidth="1"/>
  </cols>
  <sheetData>
    <row r="1" spans="1:12" x14ac:dyDescent="0.3">
      <c r="A1" t="s">
        <v>5</v>
      </c>
      <c r="B1" t="s">
        <v>4</v>
      </c>
      <c r="C1" t="s">
        <v>3</v>
      </c>
      <c r="D1" t="s">
        <v>0</v>
      </c>
      <c r="E1" t="s">
        <v>2</v>
      </c>
      <c r="F1" t="s">
        <v>15</v>
      </c>
      <c r="G1" t="s">
        <v>34</v>
      </c>
      <c r="H1" t="s">
        <v>35</v>
      </c>
      <c r="I1" t="s">
        <v>1</v>
      </c>
      <c r="J1" t="s">
        <v>6</v>
      </c>
      <c r="K1" t="s">
        <v>12</v>
      </c>
      <c r="L1" t="s">
        <v>52</v>
      </c>
    </row>
    <row r="2" spans="1:12" x14ac:dyDescent="0.3">
      <c r="A2" s="2" t="s">
        <v>8</v>
      </c>
      <c r="B2" s="2" t="s">
        <v>20</v>
      </c>
      <c r="C2">
        <v>1</v>
      </c>
      <c r="D2" s="2" t="s">
        <v>131</v>
      </c>
      <c r="E2" s="2" t="s">
        <v>21</v>
      </c>
      <c r="F2" s="2" t="s">
        <v>21</v>
      </c>
      <c r="G2" s="2" t="s">
        <v>36</v>
      </c>
      <c r="H2" s="2" t="s">
        <v>132</v>
      </c>
      <c r="I2" s="2" t="s">
        <v>133</v>
      </c>
      <c r="J2" s="2" t="s">
        <v>134</v>
      </c>
      <c r="K2" t="b">
        <v>0</v>
      </c>
      <c r="L2" s="2" t="s">
        <v>130</v>
      </c>
    </row>
    <row r="3" spans="1:12" x14ac:dyDescent="0.3">
      <c r="A3" s="2" t="s">
        <v>8</v>
      </c>
      <c r="B3" s="2" t="s">
        <v>20</v>
      </c>
      <c r="C3">
        <v>2</v>
      </c>
      <c r="D3" s="2" t="s">
        <v>135</v>
      </c>
      <c r="E3" s="2" t="s">
        <v>28</v>
      </c>
      <c r="F3" s="2" t="s">
        <v>28</v>
      </c>
      <c r="G3" s="2" t="s">
        <v>36</v>
      </c>
      <c r="H3" s="2" t="s">
        <v>132</v>
      </c>
      <c r="I3" s="2" t="s">
        <v>133</v>
      </c>
      <c r="J3" s="2" t="s">
        <v>134</v>
      </c>
      <c r="K3" t="b">
        <v>0</v>
      </c>
      <c r="L3" s="2" t="s">
        <v>130</v>
      </c>
    </row>
    <row r="4" spans="1:12" x14ac:dyDescent="0.3">
      <c r="A4" s="2" t="s">
        <v>8</v>
      </c>
      <c r="B4" s="2" t="s">
        <v>20</v>
      </c>
      <c r="C4">
        <v>3</v>
      </c>
      <c r="D4" s="2" t="s">
        <v>136</v>
      </c>
      <c r="E4" s="2" t="s">
        <v>30</v>
      </c>
      <c r="F4" s="2" t="s">
        <v>30</v>
      </c>
      <c r="G4" s="2" t="s">
        <v>36</v>
      </c>
      <c r="H4" s="2" t="s">
        <v>132</v>
      </c>
      <c r="I4" s="2" t="s">
        <v>133</v>
      </c>
      <c r="J4" s="2" t="s">
        <v>134</v>
      </c>
      <c r="K4" t="b">
        <v>0</v>
      </c>
      <c r="L4" s="2" t="s">
        <v>130</v>
      </c>
    </row>
    <row r="5" spans="1:12" x14ac:dyDescent="0.3">
      <c r="A5" s="2" t="s">
        <v>8</v>
      </c>
      <c r="B5" s="2" t="s">
        <v>20</v>
      </c>
      <c r="C5">
        <v>4</v>
      </c>
      <c r="D5" s="2" t="s">
        <v>137</v>
      </c>
      <c r="E5" s="2" t="s">
        <v>29</v>
      </c>
      <c r="F5" s="2" t="s">
        <v>29</v>
      </c>
      <c r="G5" s="2" t="s">
        <v>36</v>
      </c>
      <c r="H5" s="2" t="s">
        <v>132</v>
      </c>
      <c r="I5" s="2" t="s">
        <v>133</v>
      </c>
      <c r="J5" s="2" t="s">
        <v>134</v>
      </c>
      <c r="K5" t="b">
        <v>0</v>
      </c>
      <c r="L5" s="2" t="s">
        <v>130</v>
      </c>
    </row>
    <row r="6" spans="1:12" x14ac:dyDescent="0.3">
      <c r="A6" s="2" t="s">
        <v>8</v>
      </c>
      <c r="B6" s="2" t="s">
        <v>20</v>
      </c>
      <c r="C6">
        <v>5</v>
      </c>
      <c r="D6" s="2" t="s">
        <v>138</v>
      </c>
      <c r="E6" s="2" t="s">
        <v>32</v>
      </c>
      <c r="F6" s="2" t="s">
        <v>32</v>
      </c>
      <c r="G6" s="2" t="s">
        <v>36</v>
      </c>
      <c r="H6" s="2" t="s">
        <v>132</v>
      </c>
      <c r="I6" s="2" t="s">
        <v>133</v>
      </c>
      <c r="J6" s="2" t="s">
        <v>134</v>
      </c>
      <c r="K6" t="b">
        <v>0</v>
      </c>
      <c r="L6" s="2" t="s">
        <v>130</v>
      </c>
    </row>
    <row r="7" spans="1:12" x14ac:dyDescent="0.3">
      <c r="A7" s="2" t="s">
        <v>8</v>
      </c>
      <c r="B7" s="2" t="s">
        <v>20</v>
      </c>
      <c r="C7">
        <v>6</v>
      </c>
      <c r="D7" s="2" t="s">
        <v>139</v>
      </c>
      <c r="E7" s="2" t="s">
        <v>7</v>
      </c>
      <c r="F7" s="2" t="s">
        <v>7</v>
      </c>
      <c r="G7" s="2" t="s">
        <v>36</v>
      </c>
      <c r="H7" s="2" t="s">
        <v>132</v>
      </c>
      <c r="I7" s="2" t="s">
        <v>133</v>
      </c>
      <c r="J7" s="2" t="s">
        <v>134</v>
      </c>
      <c r="K7" t="b">
        <v>0</v>
      </c>
      <c r="L7" s="2" t="s">
        <v>130</v>
      </c>
    </row>
    <row r="8" spans="1:12" x14ac:dyDescent="0.3">
      <c r="A8" s="2" t="s">
        <v>8</v>
      </c>
      <c r="B8" s="2" t="s">
        <v>20</v>
      </c>
      <c r="C8">
        <v>7</v>
      </c>
      <c r="D8" s="2" t="s">
        <v>140</v>
      </c>
      <c r="E8" s="2" t="s">
        <v>31</v>
      </c>
      <c r="F8" s="2" t="s">
        <v>31</v>
      </c>
      <c r="G8" s="2" t="s">
        <v>36</v>
      </c>
      <c r="H8" s="2" t="s">
        <v>132</v>
      </c>
      <c r="I8" s="2" t="s">
        <v>133</v>
      </c>
      <c r="J8" s="2" t="s">
        <v>134</v>
      </c>
      <c r="K8" t="b">
        <v>0</v>
      </c>
      <c r="L8" s="2" t="s">
        <v>130</v>
      </c>
    </row>
    <row r="9" spans="1:12" x14ac:dyDescent="0.3">
      <c r="A9" s="2" t="s">
        <v>8</v>
      </c>
      <c r="B9" s="2" t="s">
        <v>20</v>
      </c>
      <c r="C9">
        <v>8</v>
      </c>
      <c r="D9" s="2" t="s">
        <v>141</v>
      </c>
      <c r="E9" s="2" t="s">
        <v>33</v>
      </c>
      <c r="F9" s="2" t="s">
        <v>33</v>
      </c>
      <c r="G9" s="2" t="s">
        <v>36</v>
      </c>
      <c r="H9" s="2" t="s">
        <v>132</v>
      </c>
      <c r="I9" s="2" t="s">
        <v>133</v>
      </c>
      <c r="J9" s="2" t="s">
        <v>134</v>
      </c>
      <c r="K9" t="b">
        <v>0</v>
      </c>
      <c r="L9" s="2" t="s">
        <v>130</v>
      </c>
    </row>
    <row r="10" spans="1:12" x14ac:dyDescent="0.3">
      <c r="A10" s="2" t="s">
        <v>8</v>
      </c>
      <c r="B10" s="2" t="s">
        <v>20</v>
      </c>
      <c r="C10">
        <v>9</v>
      </c>
      <c r="D10" s="2" t="s">
        <v>142</v>
      </c>
      <c r="E10" s="2" t="s">
        <v>9</v>
      </c>
      <c r="F10" s="2" t="s">
        <v>9</v>
      </c>
      <c r="G10" s="2" t="s">
        <v>36</v>
      </c>
      <c r="H10" s="2" t="s">
        <v>132</v>
      </c>
      <c r="I10" s="2" t="s">
        <v>133</v>
      </c>
      <c r="J10" s="2" t="s">
        <v>134</v>
      </c>
      <c r="K10" t="b">
        <v>0</v>
      </c>
      <c r="L10" s="2" t="s">
        <v>130</v>
      </c>
    </row>
    <row r="11" spans="1:12" x14ac:dyDescent="0.3">
      <c r="A11" s="2" t="s">
        <v>8</v>
      </c>
      <c r="B11" s="2" t="s">
        <v>20</v>
      </c>
      <c r="C11">
        <v>10</v>
      </c>
      <c r="D11" s="2" t="s">
        <v>143</v>
      </c>
      <c r="E11" s="2" t="s">
        <v>17</v>
      </c>
      <c r="F11" s="2" t="s">
        <v>17</v>
      </c>
      <c r="G11" s="2" t="s">
        <v>36</v>
      </c>
      <c r="H11" s="2" t="s">
        <v>132</v>
      </c>
      <c r="I11" s="2" t="s">
        <v>133</v>
      </c>
      <c r="J11" s="2" t="s">
        <v>134</v>
      </c>
      <c r="K11" t="b">
        <v>0</v>
      </c>
      <c r="L11" s="2" t="s">
        <v>130</v>
      </c>
    </row>
    <row r="12" spans="1:12" x14ac:dyDescent="0.3">
      <c r="A12" s="2" t="s">
        <v>8</v>
      </c>
      <c r="B12" s="2" t="s">
        <v>20</v>
      </c>
      <c r="C12">
        <v>11</v>
      </c>
      <c r="D12" s="2" t="s">
        <v>144</v>
      </c>
      <c r="E12" s="2" t="s">
        <v>11</v>
      </c>
      <c r="F12" s="2" t="s">
        <v>11</v>
      </c>
      <c r="G12" s="2" t="s">
        <v>36</v>
      </c>
      <c r="H12" s="2" t="s">
        <v>132</v>
      </c>
      <c r="I12" s="2" t="s">
        <v>133</v>
      </c>
      <c r="J12" s="2" t="s">
        <v>134</v>
      </c>
      <c r="K12" t="b">
        <v>0</v>
      </c>
      <c r="L12" s="2" t="s">
        <v>130</v>
      </c>
    </row>
    <row r="13" spans="1:12" x14ac:dyDescent="0.3">
      <c r="A13" s="2" t="s">
        <v>8</v>
      </c>
      <c r="B13" s="2" t="s">
        <v>20</v>
      </c>
      <c r="C13">
        <v>12</v>
      </c>
      <c r="D13" s="2" t="s">
        <v>145</v>
      </c>
      <c r="E13" s="2" t="s">
        <v>14</v>
      </c>
      <c r="F13" s="2" t="s">
        <v>146</v>
      </c>
      <c r="G13" s="2" t="s">
        <v>36</v>
      </c>
      <c r="H13" s="2" t="s">
        <v>132</v>
      </c>
      <c r="I13" s="2" t="s">
        <v>133</v>
      </c>
      <c r="J13" s="2" t="s">
        <v>134</v>
      </c>
      <c r="K13" t="b">
        <v>1</v>
      </c>
      <c r="L13" s="2" t="s">
        <v>130</v>
      </c>
    </row>
    <row r="14" spans="1:12" x14ac:dyDescent="0.3">
      <c r="A14" s="2" t="s">
        <v>8</v>
      </c>
      <c r="B14" s="2" t="s">
        <v>20</v>
      </c>
      <c r="C14">
        <v>13</v>
      </c>
      <c r="D14" s="2" t="s">
        <v>147</v>
      </c>
      <c r="E14" s="2" t="s">
        <v>25</v>
      </c>
      <c r="F14" s="2" t="s">
        <v>25</v>
      </c>
      <c r="G14" s="2" t="s">
        <v>36</v>
      </c>
      <c r="H14" s="2" t="s">
        <v>132</v>
      </c>
      <c r="I14" s="2" t="s">
        <v>133</v>
      </c>
      <c r="J14" s="2" t="s">
        <v>134</v>
      </c>
      <c r="K14" t="b">
        <v>0</v>
      </c>
      <c r="L14" s="2" t="s">
        <v>130</v>
      </c>
    </row>
    <row r="15" spans="1:12" x14ac:dyDescent="0.3">
      <c r="A15" s="2" t="s">
        <v>8</v>
      </c>
      <c r="B15" s="2" t="s">
        <v>20</v>
      </c>
      <c r="C15">
        <v>14</v>
      </c>
      <c r="D15" s="2" t="s">
        <v>148</v>
      </c>
      <c r="E15" s="2" t="s">
        <v>26</v>
      </c>
      <c r="F15" s="2" t="s">
        <v>26</v>
      </c>
      <c r="G15" s="2" t="s">
        <v>36</v>
      </c>
      <c r="H15" s="2" t="s">
        <v>132</v>
      </c>
      <c r="I15" s="2" t="s">
        <v>133</v>
      </c>
      <c r="J15" s="2" t="s">
        <v>134</v>
      </c>
      <c r="K15" t="b">
        <v>0</v>
      </c>
      <c r="L15" s="2" t="s">
        <v>130</v>
      </c>
    </row>
    <row r="16" spans="1:12" x14ac:dyDescent="0.3">
      <c r="A16" s="2" t="s">
        <v>8</v>
      </c>
      <c r="B16" s="2" t="s">
        <v>20</v>
      </c>
      <c r="C16">
        <v>15</v>
      </c>
      <c r="D16" s="2" t="s">
        <v>149</v>
      </c>
      <c r="E16" s="2" t="s">
        <v>27</v>
      </c>
      <c r="F16" s="2" t="s">
        <v>27</v>
      </c>
      <c r="G16" s="2" t="s">
        <v>36</v>
      </c>
      <c r="H16" s="2" t="s">
        <v>132</v>
      </c>
      <c r="I16" s="2" t="s">
        <v>133</v>
      </c>
      <c r="J16" s="2" t="s">
        <v>134</v>
      </c>
      <c r="K16" t="b">
        <v>0</v>
      </c>
      <c r="L16" s="2" t="s">
        <v>130</v>
      </c>
    </row>
    <row r="17" spans="1:12" x14ac:dyDescent="0.3">
      <c r="A17" s="2" t="s">
        <v>8</v>
      </c>
      <c r="B17" s="2" t="s">
        <v>20</v>
      </c>
      <c r="C17">
        <v>16</v>
      </c>
      <c r="D17" s="2" t="s">
        <v>150</v>
      </c>
      <c r="E17" s="2" t="s">
        <v>24</v>
      </c>
      <c r="F17" s="2" t="s">
        <v>24</v>
      </c>
      <c r="G17" s="2" t="s">
        <v>36</v>
      </c>
      <c r="H17" s="2" t="s">
        <v>132</v>
      </c>
      <c r="I17" s="2" t="s">
        <v>133</v>
      </c>
      <c r="J17" s="2" t="s">
        <v>134</v>
      </c>
      <c r="K17" t="b">
        <v>0</v>
      </c>
      <c r="L17" s="2" t="s">
        <v>130</v>
      </c>
    </row>
    <row r="18" spans="1:12" x14ac:dyDescent="0.3">
      <c r="A18" s="2" t="s">
        <v>8</v>
      </c>
      <c r="B18" s="2" t="s">
        <v>20</v>
      </c>
      <c r="C18">
        <v>17</v>
      </c>
      <c r="D18" s="2" t="s">
        <v>151</v>
      </c>
      <c r="E18" s="2" t="s">
        <v>10</v>
      </c>
      <c r="F18" s="2" t="s">
        <v>10</v>
      </c>
      <c r="G18" s="2" t="s">
        <v>36</v>
      </c>
      <c r="H18" s="2" t="s">
        <v>132</v>
      </c>
      <c r="I18" s="2" t="s">
        <v>133</v>
      </c>
      <c r="J18" s="2" t="s">
        <v>134</v>
      </c>
      <c r="K18" t="b">
        <v>0</v>
      </c>
      <c r="L18" s="2" t="s">
        <v>130</v>
      </c>
    </row>
    <row r="19" spans="1:12" x14ac:dyDescent="0.3">
      <c r="A19" s="2" t="s">
        <v>8</v>
      </c>
      <c r="B19" s="2" t="s">
        <v>20</v>
      </c>
      <c r="C19">
        <v>18</v>
      </c>
      <c r="D19" s="2" t="s">
        <v>152</v>
      </c>
      <c r="E19" s="2" t="s">
        <v>19</v>
      </c>
      <c r="F19" s="2" t="s">
        <v>19</v>
      </c>
      <c r="G19" s="2" t="s">
        <v>36</v>
      </c>
      <c r="H19" s="2" t="s">
        <v>132</v>
      </c>
      <c r="I19" s="2" t="s">
        <v>133</v>
      </c>
      <c r="J19" s="2" t="s">
        <v>134</v>
      </c>
      <c r="K19" t="b">
        <v>0</v>
      </c>
      <c r="L19" s="2" t="s">
        <v>130</v>
      </c>
    </row>
    <row r="20" spans="1:12" x14ac:dyDescent="0.3">
      <c r="A20" s="2" t="s">
        <v>8</v>
      </c>
      <c r="B20" s="2" t="s">
        <v>20</v>
      </c>
      <c r="C20">
        <v>19</v>
      </c>
      <c r="D20" s="2" t="s">
        <v>153</v>
      </c>
      <c r="E20" s="2" t="s">
        <v>13</v>
      </c>
      <c r="F20" s="2" t="s">
        <v>13</v>
      </c>
      <c r="G20" s="2" t="s">
        <v>36</v>
      </c>
      <c r="H20" s="2" t="s">
        <v>132</v>
      </c>
      <c r="I20" s="2" t="s">
        <v>133</v>
      </c>
      <c r="J20" s="2" t="s">
        <v>134</v>
      </c>
      <c r="K20" t="b">
        <v>0</v>
      </c>
      <c r="L20" s="2" t="s">
        <v>130</v>
      </c>
    </row>
    <row r="21" spans="1:12" x14ac:dyDescent="0.3">
      <c r="A21" s="2" t="s">
        <v>8</v>
      </c>
      <c r="B21" s="2" t="s">
        <v>20</v>
      </c>
      <c r="C21">
        <v>20</v>
      </c>
      <c r="D21" s="2" t="s">
        <v>154</v>
      </c>
      <c r="E21" s="2" t="s">
        <v>16</v>
      </c>
      <c r="F21" s="2" t="s">
        <v>155</v>
      </c>
      <c r="G21" s="2" t="s">
        <v>36</v>
      </c>
      <c r="H21" s="2" t="s">
        <v>132</v>
      </c>
      <c r="I21" s="2" t="s">
        <v>133</v>
      </c>
      <c r="J21" s="2" t="s">
        <v>134</v>
      </c>
      <c r="K21" t="b">
        <v>1</v>
      </c>
      <c r="L21" s="2" t="s">
        <v>130</v>
      </c>
    </row>
    <row r="22" spans="1:12" x14ac:dyDescent="0.3">
      <c r="A22" s="2" t="s">
        <v>8</v>
      </c>
      <c r="B22" s="2" t="s">
        <v>20</v>
      </c>
      <c r="C22">
        <v>21</v>
      </c>
      <c r="D22" s="2" t="s">
        <v>156</v>
      </c>
      <c r="E22" s="2" t="s">
        <v>18</v>
      </c>
      <c r="F22" s="2" t="s">
        <v>18</v>
      </c>
      <c r="G22" s="2" t="s">
        <v>36</v>
      </c>
      <c r="H22" s="2" t="s">
        <v>132</v>
      </c>
      <c r="I22" s="2" t="s">
        <v>133</v>
      </c>
      <c r="J22" s="2" t="s">
        <v>134</v>
      </c>
      <c r="K22" t="b">
        <v>0</v>
      </c>
      <c r="L22" s="2" t="s">
        <v>130</v>
      </c>
    </row>
    <row r="23" spans="1:12" x14ac:dyDescent="0.3">
      <c r="A23" s="2" t="s">
        <v>8</v>
      </c>
      <c r="B23" s="2" t="s">
        <v>20</v>
      </c>
      <c r="C23">
        <v>22</v>
      </c>
      <c r="D23" s="2" t="s">
        <v>157</v>
      </c>
      <c r="E23" s="2" t="s">
        <v>37</v>
      </c>
      <c r="F23" s="2" t="s">
        <v>37</v>
      </c>
      <c r="G23" s="2" t="s">
        <v>38</v>
      </c>
      <c r="H23" s="2" t="s">
        <v>158</v>
      </c>
      <c r="I23" s="2" t="s">
        <v>133</v>
      </c>
      <c r="J23" s="2" t="s">
        <v>134</v>
      </c>
      <c r="K23" t="b">
        <v>0</v>
      </c>
      <c r="L23" s="2" t="s">
        <v>130</v>
      </c>
    </row>
    <row r="24" spans="1:12" x14ac:dyDescent="0.3">
      <c r="A24" s="2" t="s">
        <v>8</v>
      </c>
      <c r="B24" s="2" t="s">
        <v>20</v>
      </c>
      <c r="C24">
        <v>23</v>
      </c>
      <c r="D24" s="2" t="s">
        <v>159</v>
      </c>
      <c r="E24" s="2" t="s">
        <v>40</v>
      </c>
      <c r="F24" s="2" t="s">
        <v>40</v>
      </c>
      <c r="G24" s="2" t="s">
        <v>38</v>
      </c>
      <c r="H24" s="2" t="s">
        <v>158</v>
      </c>
      <c r="I24" s="2" t="s">
        <v>133</v>
      </c>
      <c r="J24" s="2" t="s">
        <v>134</v>
      </c>
      <c r="K24" t="b">
        <v>0</v>
      </c>
      <c r="L24" s="2" t="s">
        <v>130</v>
      </c>
    </row>
    <row r="25" spans="1:12" x14ac:dyDescent="0.3">
      <c r="A25" s="2" t="s">
        <v>8</v>
      </c>
      <c r="B25" s="2" t="s">
        <v>20</v>
      </c>
      <c r="C25">
        <v>24</v>
      </c>
      <c r="D25" s="2" t="s">
        <v>160</v>
      </c>
      <c r="E25" s="2" t="s">
        <v>41</v>
      </c>
      <c r="F25" s="2" t="s">
        <v>41</v>
      </c>
      <c r="G25" s="2" t="s">
        <v>38</v>
      </c>
      <c r="H25" s="2" t="s">
        <v>158</v>
      </c>
      <c r="I25" s="2" t="s">
        <v>133</v>
      </c>
      <c r="J25" s="2" t="s">
        <v>134</v>
      </c>
      <c r="K25" t="b">
        <v>0</v>
      </c>
      <c r="L25" s="2" t="s">
        <v>130</v>
      </c>
    </row>
    <row r="26" spans="1:12" x14ac:dyDescent="0.3">
      <c r="A26" s="2" t="s">
        <v>8</v>
      </c>
      <c r="B26" s="2" t="s">
        <v>20</v>
      </c>
      <c r="C26">
        <v>25</v>
      </c>
      <c r="D26" s="2" t="s">
        <v>161</v>
      </c>
      <c r="E26" s="2" t="s">
        <v>39</v>
      </c>
      <c r="F26" s="2" t="s">
        <v>39</v>
      </c>
      <c r="G26" s="2" t="s">
        <v>38</v>
      </c>
      <c r="H26" s="2" t="s">
        <v>158</v>
      </c>
      <c r="I26" s="2" t="s">
        <v>133</v>
      </c>
      <c r="J26" s="2" t="s">
        <v>134</v>
      </c>
      <c r="K26" t="b">
        <v>0</v>
      </c>
      <c r="L26" s="2" t="s">
        <v>130</v>
      </c>
    </row>
    <row r="27" spans="1:12" x14ac:dyDescent="0.3">
      <c r="A27" s="2" t="s">
        <v>8</v>
      </c>
      <c r="B27" s="2" t="s">
        <v>20</v>
      </c>
      <c r="C27">
        <v>26</v>
      </c>
      <c r="D27" s="2" t="s">
        <v>162</v>
      </c>
      <c r="E27" s="2" t="s">
        <v>42</v>
      </c>
      <c r="F27" s="2" t="s">
        <v>42</v>
      </c>
      <c r="G27" s="2" t="s">
        <v>46</v>
      </c>
      <c r="H27" s="2" t="s">
        <v>163</v>
      </c>
      <c r="I27" s="2" t="s">
        <v>133</v>
      </c>
      <c r="J27" s="2" t="s">
        <v>134</v>
      </c>
      <c r="K27" t="b">
        <v>0</v>
      </c>
      <c r="L27" s="2" t="s">
        <v>130</v>
      </c>
    </row>
    <row r="28" spans="1:12" x14ac:dyDescent="0.3">
      <c r="A28" s="2" t="s">
        <v>8</v>
      </c>
      <c r="B28" s="2" t="s">
        <v>20</v>
      </c>
      <c r="C28">
        <v>27</v>
      </c>
      <c r="D28" s="2" t="s">
        <v>164</v>
      </c>
      <c r="E28" s="2" t="s">
        <v>43</v>
      </c>
      <c r="F28" s="2" t="s">
        <v>43</v>
      </c>
      <c r="G28" s="2" t="s">
        <v>46</v>
      </c>
      <c r="H28" s="2" t="s">
        <v>163</v>
      </c>
      <c r="I28" s="2" t="s">
        <v>133</v>
      </c>
      <c r="J28" s="2" t="s">
        <v>134</v>
      </c>
      <c r="K28" t="b">
        <v>0</v>
      </c>
      <c r="L28" s="2" t="s">
        <v>130</v>
      </c>
    </row>
    <row r="29" spans="1:12" x14ac:dyDescent="0.3">
      <c r="A29" s="2" t="s">
        <v>8</v>
      </c>
      <c r="B29" s="2" t="s">
        <v>20</v>
      </c>
      <c r="C29">
        <v>28</v>
      </c>
      <c r="D29" s="2" t="s">
        <v>165</v>
      </c>
      <c r="E29" s="2" t="s">
        <v>44</v>
      </c>
      <c r="F29" s="2" t="s">
        <v>44</v>
      </c>
      <c r="G29" s="2" t="s">
        <v>46</v>
      </c>
      <c r="H29" s="2" t="s">
        <v>163</v>
      </c>
      <c r="I29" s="2" t="s">
        <v>133</v>
      </c>
      <c r="J29" s="2" t="s">
        <v>134</v>
      </c>
      <c r="K29" t="b">
        <v>0</v>
      </c>
      <c r="L29" s="2" t="s">
        <v>130</v>
      </c>
    </row>
    <row r="30" spans="1:12" x14ac:dyDescent="0.3">
      <c r="A30" s="2" t="s">
        <v>8</v>
      </c>
      <c r="B30" s="2" t="s">
        <v>20</v>
      </c>
      <c r="C30">
        <v>29</v>
      </c>
      <c r="D30" s="2" t="s">
        <v>166</v>
      </c>
      <c r="E30" s="2" t="s">
        <v>45</v>
      </c>
      <c r="F30" s="2" t="s">
        <v>45</v>
      </c>
      <c r="G30" s="2" t="s">
        <v>46</v>
      </c>
      <c r="H30" s="2" t="s">
        <v>163</v>
      </c>
      <c r="I30" s="2" t="s">
        <v>133</v>
      </c>
      <c r="J30" s="2" t="s">
        <v>134</v>
      </c>
      <c r="K30" t="b">
        <v>0</v>
      </c>
      <c r="L30" s="2" t="s">
        <v>130</v>
      </c>
    </row>
    <row r="31" spans="1:12" hidden="1" x14ac:dyDescent="0.3">
      <c r="A31" s="2" t="s">
        <v>8</v>
      </c>
      <c r="B31" s="2" t="s">
        <v>22</v>
      </c>
      <c r="C31">
        <v>1</v>
      </c>
      <c r="D31" s="2" t="s">
        <v>167</v>
      </c>
      <c r="E31" s="2" t="s">
        <v>21</v>
      </c>
      <c r="F31" s="2" t="s">
        <v>21</v>
      </c>
      <c r="G31" s="2" t="s">
        <v>36</v>
      </c>
      <c r="H31" s="2" t="s">
        <v>132</v>
      </c>
      <c r="I31" s="2" t="s">
        <v>133</v>
      </c>
      <c r="J31" s="2" t="s">
        <v>168</v>
      </c>
      <c r="K31" t="b">
        <v>0</v>
      </c>
      <c r="L31" s="2" t="s">
        <v>130</v>
      </c>
    </row>
    <row r="32" spans="1:12" hidden="1" x14ac:dyDescent="0.3">
      <c r="A32" s="2" t="s">
        <v>8</v>
      </c>
      <c r="B32" s="2" t="s">
        <v>22</v>
      </c>
      <c r="C32">
        <v>2</v>
      </c>
      <c r="D32" s="2" t="s">
        <v>169</v>
      </c>
      <c r="E32" s="2" t="s">
        <v>28</v>
      </c>
      <c r="F32" s="2" t="s">
        <v>28</v>
      </c>
      <c r="G32" s="2" t="s">
        <v>36</v>
      </c>
      <c r="H32" s="2" t="s">
        <v>132</v>
      </c>
      <c r="I32" s="2" t="s">
        <v>133</v>
      </c>
      <c r="J32" s="2" t="s">
        <v>168</v>
      </c>
      <c r="K32" t="b">
        <v>0</v>
      </c>
      <c r="L32" s="2" t="s">
        <v>130</v>
      </c>
    </row>
    <row r="33" spans="1:12" hidden="1" x14ac:dyDescent="0.3">
      <c r="A33" s="2" t="s">
        <v>8</v>
      </c>
      <c r="B33" s="2" t="s">
        <v>22</v>
      </c>
      <c r="C33">
        <v>3</v>
      </c>
      <c r="D33" s="2" t="s">
        <v>170</v>
      </c>
      <c r="E33" s="2" t="s">
        <v>30</v>
      </c>
      <c r="F33" s="2" t="s">
        <v>30</v>
      </c>
      <c r="G33" s="2" t="s">
        <v>36</v>
      </c>
      <c r="H33" s="2" t="s">
        <v>132</v>
      </c>
      <c r="I33" s="2" t="s">
        <v>133</v>
      </c>
      <c r="J33" s="2" t="s">
        <v>168</v>
      </c>
      <c r="K33" t="b">
        <v>0</v>
      </c>
      <c r="L33" s="2" t="s">
        <v>130</v>
      </c>
    </row>
    <row r="34" spans="1:12" hidden="1" x14ac:dyDescent="0.3">
      <c r="A34" s="2" t="s">
        <v>8</v>
      </c>
      <c r="B34" s="2" t="s">
        <v>22</v>
      </c>
      <c r="C34">
        <v>4</v>
      </c>
      <c r="D34" s="2" t="s">
        <v>171</v>
      </c>
      <c r="E34" s="2" t="s">
        <v>32</v>
      </c>
      <c r="F34" s="2" t="s">
        <v>32</v>
      </c>
      <c r="G34" s="2" t="s">
        <v>36</v>
      </c>
      <c r="H34" s="2" t="s">
        <v>132</v>
      </c>
      <c r="I34" s="2" t="s">
        <v>133</v>
      </c>
      <c r="J34" s="2" t="s">
        <v>168</v>
      </c>
      <c r="K34" t="b">
        <v>0</v>
      </c>
      <c r="L34" s="2" t="s">
        <v>130</v>
      </c>
    </row>
    <row r="35" spans="1:12" hidden="1" x14ac:dyDescent="0.3">
      <c r="A35" s="2" t="s">
        <v>8</v>
      </c>
      <c r="B35" s="2" t="s">
        <v>22</v>
      </c>
      <c r="C35">
        <v>5</v>
      </c>
      <c r="D35" s="2" t="s">
        <v>172</v>
      </c>
      <c r="E35" s="2" t="s">
        <v>48</v>
      </c>
      <c r="F35" s="2" t="s">
        <v>48</v>
      </c>
      <c r="G35" s="2" t="s">
        <v>36</v>
      </c>
      <c r="H35" s="2" t="s">
        <v>132</v>
      </c>
      <c r="I35" s="2" t="s">
        <v>133</v>
      </c>
      <c r="J35" s="2" t="s">
        <v>168</v>
      </c>
      <c r="K35" t="b">
        <v>0</v>
      </c>
      <c r="L35" s="2" t="s">
        <v>130</v>
      </c>
    </row>
    <row r="36" spans="1:12" hidden="1" x14ac:dyDescent="0.3">
      <c r="A36" s="2" t="s">
        <v>8</v>
      </c>
      <c r="B36" s="2" t="s">
        <v>22</v>
      </c>
      <c r="C36">
        <v>1</v>
      </c>
      <c r="D36" s="2" t="s">
        <v>167</v>
      </c>
      <c r="E36" s="2" t="s">
        <v>7</v>
      </c>
      <c r="F36" s="2" t="s">
        <v>7</v>
      </c>
      <c r="G36" s="2" t="s">
        <v>36</v>
      </c>
      <c r="H36" s="2" t="s">
        <v>132</v>
      </c>
      <c r="I36" s="2" t="s">
        <v>133</v>
      </c>
      <c r="J36" s="2" t="s">
        <v>168</v>
      </c>
      <c r="K36" t="b">
        <v>0</v>
      </c>
      <c r="L36" s="2" t="s">
        <v>130</v>
      </c>
    </row>
    <row r="37" spans="1:12" hidden="1" x14ac:dyDescent="0.3">
      <c r="A37" s="2" t="s">
        <v>8</v>
      </c>
      <c r="B37" s="2" t="s">
        <v>22</v>
      </c>
      <c r="C37">
        <v>2</v>
      </c>
      <c r="D37" s="2" t="s">
        <v>169</v>
      </c>
      <c r="E37" s="2" t="s">
        <v>33</v>
      </c>
      <c r="F37" s="2" t="s">
        <v>33</v>
      </c>
      <c r="G37" s="2" t="s">
        <v>36</v>
      </c>
      <c r="H37" s="2" t="s">
        <v>132</v>
      </c>
      <c r="I37" s="2" t="s">
        <v>133</v>
      </c>
      <c r="J37" s="2" t="s">
        <v>168</v>
      </c>
      <c r="K37" t="b">
        <v>0</v>
      </c>
      <c r="L37" s="2" t="s">
        <v>130</v>
      </c>
    </row>
    <row r="38" spans="1:12" hidden="1" x14ac:dyDescent="0.3">
      <c r="A38" s="2" t="s">
        <v>8</v>
      </c>
      <c r="B38" s="2" t="s">
        <v>22</v>
      </c>
      <c r="C38">
        <v>3</v>
      </c>
      <c r="D38" s="2" t="s">
        <v>170</v>
      </c>
      <c r="E38" s="2" t="s">
        <v>17</v>
      </c>
      <c r="F38" s="2" t="s">
        <v>17</v>
      </c>
      <c r="G38" s="2" t="s">
        <v>36</v>
      </c>
      <c r="H38" s="2" t="s">
        <v>132</v>
      </c>
      <c r="I38" s="2" t="s">
        <v>133</v>
      </c>
      <c r="J38" s="2" t="s">
        <v>168</v>
      </c>
      <c r="K38" t="b">
        <v>0</v>
      </c>
      <c r="L38" s="2" t="s">
        <v>130</v>
      </c>
    </row>
    <row r="39" spans="1:12" hidden="1" x14ac:dyDescent="0.3">
      <c r="A39" s="2" t="s">
        <v>8</v>
      </c>
      <c r="B39" s="2" t="s">
        <v>22</v>
      </c>
      <c r="C39">
        <v>4</v>
      </c>
      <c r="D39" s="2" t="s">
        <v>171</v>
      </c>
      <c r="E39" s="2" t="s">
        <v>11</v>
      </c>
      <c r="F39" s="2" t="s">
        <v>11</v>
      </c>
      <c r="G39" s="2" t="s">
        <v>36</v>
      </c>
      <c r="H39" s="2" t="s">
        <v>132</v>
      </c>
      <c r="I39" s="2" t="s">
        <v>133</v>
      </c>
      <c r="J39" s="2" t="s">
        <v>168</v>
      </c>
      <c r="K39" t="b">
        <v>0</v>
      </c>
      <c r="L39" s="2" t="s">
        <v>130</v>
      </c>
    </row>
    <row r="40" spans="1:12" hidden="1" x14ac:dyDescent="0.3">
      <c r="A40" s="2" t="s">
        <v>8</v>
      </c>
      <c r="B40" s="2" t="s">
        <v>22</v>
      </c>
      <c r="C40">
        <v>5</v>
      </c>
      <c r="D40" s="2" t="s">
        <v>172</v>
      </c>
      <c r="E40" s="2" t="s">
        <v>14</v>
      </c>
      <c r="F40" s="2" t="s">
        <v>146</v>
      </c>
      <c r="G40" s="2" t="s">
        <v>36</v>
      </c>
      <c r="H40" s="2" t="s">
        <v>132</v>
      </c>
      <c r="I40" s="2" t="s">
        <v>133</v>
      </c>
      <c r="J40" s="2" t="s">
        <v>168</v>
      </c>
      <c r="K40" t="b">
        <v>1</v>
      </c>
      <c r="L40" s="2" t="s">
        <v>130</v>
      </c>
    </row>
    <row r="41" spans="1:12" hidden="1" x14ac:dyDescent="0.3">
      <c r="A41" s="2" t="s">
        <v>8</v>
      </c>
      <c r="B41" s="2" t="s">
        <v>22</v>
      </c>
      <c r="C41">
        <v>6</v>
      </c>
      <c r="D41" s="2" t="s">
        <v>173</v>
      </c>
      <c r="E41" s="2" t="s">
        <v>25</v>
      </c>
      <c r="F41" s="2" t="s">
        <v>25</v>
      </c>
      <c r="G41" s="2" t="s">
        <v>36</v>
      </c>
      <c r="H41" s="2" t="s">
        <v>132</v>
      </c>
      <c r="I41" s="2" t="s">
        <v>133</v>
      </c>
      <c r="J41" s="2" t="s">
        <v>168</v>
      </c>
      <c r="K41" t="b">
        <v>0</v>
      </c>
      <c r="L41" s="2" t="s">
        <v>130</v>
      </c>
    </row>
    <row r="42" spans="1:12" hidden="1" x14ac:dyDescent="0.3">
      <c r="A42" s="2" t="s">
        <v>8</v>
      </c>
      <c r="B42" s="2" t="s">
        <v>22</v>
      </c>
      <c r="C42">
        <v>7</v>
      </c>
      <c r="D42" s="2" t="s">
        <v>174</v>
      </c>
      <c r="E42" s="2" t="s">
        <v>26</v>
      </c>
      <c r="F42" s="2" t="s">
        <v>26</v>
      </c>
      <c r="G42" s="2" t="s">
        <v>36</v>
      </c>
      <c r="H42" s="2" t="s">
        <v>132</v>
      </c>
      <c r="I42" s="2" t="s">
        <v>133</v>
      </c>
      <c r="J42" s="2" t="s">
        <v>168</v>
      </c>
      <c r="K42" t="b">
        <v>0</v>
      </c>
      <c r="L42" s="2" t="s">
        <v>130</v>
      </c>
    </row>
    <row r="43" spans="1:12" hidden="1" x14ac:dyDescent="0.3">
      <c r="A43" s="2" t="s">
        <v>8</v>
      </c>
      <c r="B43" s="2" t="s">
        <v>22</v>
      </c>
      <c r="C43">
        <v>8</v>
      </c>
      <c r="D43" s="2" t="s">
        <v>175</v>
      </c>
      <c r="E43" s="2" t="s">
        <v>47</v>
      </c>
      <c r="F43" s="2" t="s">
        <v>47</v>
      </c>
      <c r="G43" s="2" t="s">
        <v>36</v>
      </c>
      <c r="H43" s="2" t="s">
        <v>132</v>
      </c>
      <c r="I43" s="2" t="s">
        <v>133</v>
      </c>
      <c r="J43" s="2" t="s">
        <v>168</v>
      </c>
      <c r="K43" t="b">
        <v>0</v>
      </c>
      <c r="L43" s="2" t="s">
        <v>130</v>
      </c>
    </row>
    <row r="44" spans="1:12" hidden="1" x14ac:dyDescent="0.3">
      <c r="A44" s="2" t="s">
        <v>8</v>
      </c>
      <c r="B44" s="2" t="s">
        <v>22</v>
      </c>
      <c r="C44">
        <v>9</v>
      </c>
      <c r="D44" s="2" t="s">
        <v>176</v>
      </c>
      <c r="E44" s="2" t="s">
        <v>24</v>
      </c>
      <c r="F44" s="2" t="s">
        <v>24</v>
      </c>
      <c r="G44" s="2" t="s">
        <v>36</v>
      </c>
      <c r="H44" s="2" t="s">
        <v>132</v>
      </c>
      <c r="I44" s="2" t="s">
        <v>133</v>
      </c>
      <c r="J44" s="2" t="s">
        <v>168</v>
      </c>
      <c r="K44" t="b">
        <v>0</v>
      </c>
      <c r="L44" s="2" t="s">
        <v>130</v>
      </c>
    </row>
    <row r="45" spans="1:12" hidden="1" x14ac:dyDescent="0.3">
      <c r="A45" s="2" t="s">
        <v>8</v>
      </c>
      <c r="B45" s="2" t="s">
        <v>22</v>
      </c>
      <c r="C45">
        <v>10</v>
      </c>
      <c r="D45" s="2" t="s">
        <v>177</v>
      </c>
      <c r="E45" s="2" t="s">
        <v>10</v>
      </c>
      <c r="F45" s="2" t="s">
        <v>10</v>
      </c>
      <c r="G45" s="2" t="s">
        <v>36</v>
      </c>
      <c r="H45" s="2" t="s">
        <v>132</v>
      </c>
      <c r="I45" s="2" t="s">
        <v>133</v>
      </c>
      <c r="J45" s="2" t="s">
        <v>168</v>
      </c>
      <c r="K45" t="b">
        <v>0</v>
      </c>
      <c r="L45" s="2" t="s">
        <v>130</v>
      </c>
    </row>
    <row r="46" spans="1:12" hidden="1" x14ac:dyDescent="0.3">
      <c r="A46" s="2" t="s">
        <v>8</v>
      </c>
      <c r="B46" s="2" t="s">
        <v>22</v>
      </c>
      <c r="C46">
        <v>11</v>
      </c>
      <c r="D46" s="2" t="s">
        <v>178</v>
      </c>
      <c r="E46" s="2" t="s">
        <v>19</v>
      </c>
      <c r="F46" s="2" t="s">
        <v>19</v>
      </c>
      <c r="G46" s="2" t="s">
        <v>36</v>
      </c>
      <c r="H46" s="2" t="s">
        <v>132</v>
      </c>
      <c r="I46" s="2" t="s">
        <v>133</v>
      </c>
      <c r="J46" s="2" t="s">
        <v>168</v>
      </c>
      <c r="K46" t="b">
        <v>0</v>
      </c>
      <c r="L46" s="2" t="s">
        <v>130</v>
      </c>
    </row>
    <row r="47" spans="1:12" hidden="1" x14ac:dyDescent="0.3">
      <c r="A47" s="2" t="s">
        <v>8</v>
      </c>
      <c r="B47" s="2" t="s">
        <v>22</v>
      </c>
      <c r="C47">
        <v>12</v>
      </c>
      <c r="D47" s="2" t="s">
        <v>179</v>
      </c>
      <c r="E47" s="2" t="s">
        <v>13</v>
      </c>
      <c r="F47" s="2" t="s">
        <v>13</v>
      </c>
      <c r="G47" s="2" t="s">
        <v>36</v>
      </c>
      <c r="H47" s="2" t="s">
        <v>132</v>
      </c>
      <c r="I47" s="2" t="s">
        <v>133</v>
      </c>
      <c r="J47" s="2" t="s">
        <v>168</v>
      </c>
      <c r="K47" t="b">
        <v>0</v>
      </c>
      <c r="L47" s="2" t="s">
        <v>130</v>
      </c>
    </row>
    <row r="48" spans="1:12" hidden="1" x14ac:dyDescent="0.3">
      <c r="A48" s="2" t="s">
        <v>8</v>
      </c>
      <c r="B48" s="2" t="s">
        <v>22</v>
      </c>
      <c r="C48">
        <v>13</v>
      </c>
      <c r="D48" s="2" t="s">
        <v>180</v>
      </c>
      <c r="E48" s="2" t="s">
        <v>16</v>
      </c>
      <c r="F48" s="2" t="s">
        <v>155</v>
      </c>
      <c r="G48" s="2" t="s">
        <v>36</v>
      </c>
      <c r="H48" s="2" t="s">
        <v>132</v>
      </c>
      <c r="I48" s="2" t="s">
        <v>133</v>
      </c>
      <c r="J48" s="2" t="s">
        <v>168</v>
      </c>
      <c r="K48" t="b">
        <v>1</v>
      </c>
      <c r="L48" s="2" t="s">
        <v>130</v>
      </c>
    </row>
    <row r="49" spans="1:12" hidden="1" x14ac:dyDescent="0.3">
      <c r="A49" s="2" t="s">
        <v>8</v>
      </c>
      <c r="B49" s="2" t="s">
        <v>22</v>
      </c>
      <c r="C49">
        <v>14</v>
      </c>
      <c r="D49" s="2" t="s">
        <v>181</v>
      </c>
      <c r="E49" s="2" t="s">
        <v>18</v>
      </c>
      <c r="F49" s="2" t="s">
        <v>18</v>
      </c>
      <c r="G49" s="2" t="s">
        <v>36</v>
      </c>
      <c r="H49" s="2" t="s">
        <v>132</v>
      </c>
      <c r="I49" s="2" t="s">
        <v>133</v>
      </c>
      <c r="J49" s="2" t="s">
        <v>168</v>
      </c>
      <c r="K49" t="b">
        <v>0</v>
      </c>
      <c r="L49" s="2" t="s">
        <v>130</v>
      </c>
    </row>
    <row r="50" spans="1:12" hidden="1" x14ac:dyDescent="0.3">
      <c r="A50" s="2" t="s">
        <v>8</v>
      </c>
      <c r="B50" s="2" t="s">
        <v>22</v>
      </c>
      <c r="C50">
        <v>15</v>
      </c>
      <c r="D50" s="2" t="s">
        <v>182</v>
      </c>
      <c r="E50" s="2" t="s">
        <v>49</v>
      </c>
      <c r="F50" s="2" t="s">
        <v>49</v>
      </c>
      <c r="G50" s="2" t="s">
        <v>38</v>
      </c>
      <c r="H50" s="2" t="s">
        <v>158</v>
      </c>
      <c r="I50" s="2" t="s">
        <v>133</v>
      </c>
      <c r="J50" s="2" t="s">
        <v>168</v>
      </c>
      <c r="K50" t="b">
        <v>0</v>
      </c>
      <c r="L50" s="2" t="s">
        <v>130</v>
      </c>
    </row>
    <row r="51" spans="1:12" hidden="1" x14ac:dyDescent="0.3">
      <c r="A51" s="2" t="s">
        <v>8</v>
      </c>
      <c r="B51" s="2" t="s">
        <v>22</v>
      </c>
      <c r="C51">
        <v>16</v>
      </c>
      <c r="D51" s="2" t="s">
        <v>183</v>
      </c>
      <c r="E51" s="2" t="s">
        <v>37</v>
      </c>
      <c r="F51" s="2" t="s">
        <v>37</v>
      </c>
      <c r="G51" s="2" t="s">
        <v>38</v>
      </c>
      <c r="H51" s="2" t="s">
        <v>158</v>
      </c>
      <c r="I51" s="2" t="s">
        <v>133</v>
      </c>
      <c r="J51" s="2" t="s">
        <v>168</v>
      </c>
      <c r="K51" t="b">
        <v>0</v>
      </c>
      <c r="L51" s="2" t="s">
        <v>130</v>
      </c>
    </row>
    <row r="52" spans="1:12" hidden="1" x14ac:dyDescent="0.3">
      <c r="A52" s="2" t="s">
        <v>8</v>
      </c>
      <c r="B52" s="2" t="s">
        <v>22</v>
      </c>
      <c r="C52">
        <v>17</v>
      </c>
      <c r="D52" s="2" t="s">
        <v>184</v>
      </c>
      <c r="E52" s="2" t="s">
        <v>40</v>
      </c>
      <c r="F52" s="2" t="s">
        <v>40</v>
      </c>
      <c r="G52" s="2" t="s">
        <v>38</v>
      </c>
      <c r="H52" s="2" t="s">
        <v>158</v>
      </c>
      <c r="I52" s="2" t="s">
        <v>133</v>
      </c>
      <c r="J52" s="2" t="s">
        <v>168</v>
      </c>
      <c r="K52" t="b">
        <v>0</v>
      </c>
      <c r="L52" s="2" t="s">
        <v>130</v>
      </c>
    </row>
    <row r="53" spans="1:12" hidden="1" x14ac:dyDescent="0.3">
      <c r="A53" s="2" t="s">
        <v>8</v>
      </c>
      <c r="B53" s="2" t="s">
        <v>22</v>
      </c>
      <c r="C53">
        <v>18</v>
      </c>
      <c r="D53" s="2" t="s">
        <v>185</v>
      </c>
      <c r="E53" s="2" t="s">
        <v>41</v>
      </c>
      <c r="F53" s="2" t="s">
        <v>41</v>
      </c>
      <c r="G53" s="2" t="s">
        <v>38</v>
      </c>
      <c r="H53" s="2" t="s">
        <v>158</v>
      </c>
      <c r="I53" s="2" t="s">
        <v>133</v>
      </c>
      <c r="J53" s="2" t="s">
        <v>168</v>
      </c>
      <c r="K53" t="b">
        <v>0</v>
      </c>
      <c r="L53" s="2" t="s">
        <v>130</v>
      </c>
    </row>
    <row r="54" spans="1:12" hidden="1" x14ac:dyDescent="0.3">
      <c r="A54" s="2" t="s">
        <v>8</v>
      </c>
      <c r="B54" s="2" t="s">
        <v>22</v>
      </c>
      <c r="C54">
        <v>19</v>
      </c>
      <c r="D54" s="2" t="s">
        <v>186</v>
      </c>
      <c r="E54" s="2" t="s">
        <v>39</v>
      </c>
      <c r="F54" s="2" t="s">
        <v>39</v>
      </c>
      <c r="G54" s="2" t="s">
        <v>38</v>
      </c>
      <c r="H54" s="2" t="s">
        <v>158</v>
      </c>
      <c r="I54" s="2" t="s">
        <v>133</v>
      </c>
      <c r="J54" s="2" t="s">
        <v>168</v>
      </c>
      <c r="K54" t="b">
        <v>0</v>
      </c>
      <c r="L54" s="2" t="s">
        <v>130</v>
      </c>
    </row>
    <row r="55" spans="1:12" hidden="1" x14ac:dyDescent="0.3">
      <c r="A55" s="2" t="s">
        <v>8</v>
      </c>
      <c r="B55" s="2" t="s">
        <v>22</v>
      </c>
      <c r="C55">
        <v>20</v>
      </c>
      <c r="D55" s="2" t="s">
        <v>187</v>
      </c>
      <c r="E55" s="2" t="s">
        <v>42</v>
      </c>
      <c r="F55" s="2" t="s">
        <v>42</v>
      </c>
      <c r="G55" s="2" t="s">
        <v>46</v>
      </c>
      <c r="H55" s="2" t="s">
        <v>163</v>
      </c>
      <c r="I55" s="2" t="s">
        <v>133</v>
      </c>
      <c r="J55" s="2" t="s">
        <v>168</v>
      </c>
      <c r="K55" t="b">
        <v>0</v>
      </c>
      <c r="L55" s="2" t="s">
        <v>130</v>
      </c>
    </row>
    <row r="56" spans="1:12" hidden="1" x14ac:dyDescent="0.3">
      <c r="A56" s="2" t="s">
        <v>8</v>
      </c>
      <c r="B56" s="2" t="s">
        <v>22</v>
      </c>
      <c r="C56">
        <v>21</v>
      </c>
      <c r="D56" s="2" t="s">
        <v>188</v>
      </c>
      <c r="E56" s="2" t="s">
        <v>43</v>
      </c>
      <c r="F56" s="2" t="s">
        <v>43</v>
      </c>
      <c r="G56" s="2" t="s">
        <v>46</v>
      </c>
      <c r="H56" s="2" t="s">
        <v>163</v>
      </c>
      <c r="I56" s="2" t="s">
        <v>133</v>
      </c>
      <c r="J56" s="2" t="s">
        <v>168</v>
      </c>
      <c r="K56" t="b">
        <v>0</v>
      </c>
      <c r="L56" s="2" t="s">
        <v>130</v>
      </c>
    </row>
    <row r="57" spans="1:12" hidden="1" x14ac:dyDescent="0.3">
      <c r="A57" s="2" t="s">
        <v>8</v>
      </c>
      <c r="B57" s="2" t="s">
        <v>22</v>
      </c>
      <c r="C57">
        <v>22</v>
      </c>
      <c r="D57" s="2" t="s">
        <v>189</v>
      </c>
      <c r="E57" s="2" t="s">
        <v>44</v>
      </c>
      <c r="F57" s="2" t="s">
        <v>44</v>
      </c>
      <c r="G57" s="2" t="s">
        <v>46</v>
      </c>
      <c r="H57" s="2" t="s">
        <v>163</v>
      </c>
      <c r="I57" s="2" t="s">
        <v>133</v>
      </c>
      <c r="J57" s="2" t="s">
        <v>168</v>
      </c>
      <c r="K57" t="b">
        <v>0</v>
      </c>
      <c r="L57" s="2" t="s">
        <v>130</v>
      </c>
    </row>
    <row r="58" spans="1:12" hidden="1" x14ac:dyDescent="0.3">
      <c r="A58" s="2" t="s">
        <v>8</v>
      </c>
      <c r="B58" s="2" t="s">
        <v>22</v>
      </c>
      <c r="C58">
        <v>23</v>
      </c>
      <c r="D58" s="2" t="s">
        <v>190</v>
      </c>
      <c r="E58" s="2" t="s">
        <v>45</v>
      </c>
      <c r="F58" s="2" t="s">
        <v>45</v>
      </c>
      <c r="G58" s="2" t="s">
        <v>46</v>
      </c>
      <c r="H58" s="2" t="s">
        <v>163</v>
      </c>
      <c r="I58" s="2" t="s">
        <v>133</v>
      </c>
      <c r="J58" s="2" t="s">
        <v>168</v>
      </c>
      <c r="K58" t="b">
        <v>0</v>
      </c>
      <c r="L58" s="2" t="s">
        <v>130</v>
      </c>
    </row>
    <row r="59" spans="1:12" hidden="1" x14ac:dyDescent="0.3">
      <c r="A59" s="2" t="s">
        <v>8</v>
      </c>
      <c r="B59" s="2" t="s">
        <v>23</v>
      </c>
      <c r="C59">
        <v>1</v>
      </c>
      <c r="D59" s="2" t="s">
        <v>191</v>
      </c>
      <c r="E59" s="2" t="s">
        <v>21</v>
      </c>
      <c r="F59" s="2" t="s">
        <v>21</v>
      </c>
      <c r="G59" s="2" t="s">
        <v>36</v>
      </c>
      <c r="H59" s="2" t="s">
        <v>132</v>
      </c>
      <c r="I59" s="2" t="s">
        <v>133</v>
      </c>
      <c r="J59" s="2" t="s">
        <v>192</v>
      </c>
      <c r="K59" t="b">
        <v>0</v>
      </c>
      <c r="L59" s="2" t="s">
        <v>130</v>
      </c>
    </row>
    <row r="60" spans="1:12" hidden="1" x14ac:dyDescent="0.3">
      <c r="A60" s="2" t="s">
        <v>8</v>
      </c>
      <c r="B60" s="2" t="s">
        <v>23</v>
      </c>
      <c r="C60">
        <v>2</v>
      </c>
      <c r="D60" s="2" t="s">
        <v>193</v>
      </c>
      <c r="E60" s="2" t="s">
        <v>28</v>
      </c>
      <c r="F60" s="2" t="s">
        <v>28</v>
      </c>
      <c r="G60" s="2" t="s">
        <v>36</v>
      </c>
      <c r="H60" s="2" t="s">
        <v>132</v>
      </c>
      <c r="I60" s="2" t="s">
        <v>133</v>
      </c>
      <c r="J60" s="2" t="s">
        <v>192</v>
      </c>
      <c r="K60" t="b">
        <v>0</v>
      </c>
      <c r="L60" s="2" t="s">
        <v>130</v>
      </c>
    </row>
    <row r="61" spans="1:12" hidden="1" x14ac:dyDescent="0.3">
      <c r="A61" s="2" t="s">
        <v>8</v>
      </c>
      <c r="B61" s="2" t="s">
        <v>23</v>
      </c>
      <c r="C61">
        <v>3</v>
      </c>
      <c r="D61" s="2" t="s">
        <v>194</v>
      </c>
      <c r="E61" s="2" t="s">
        <v>30</v>
      </c>
      <c r="F61" s="2" t="s">
        <v>30</v>
      </c>
      <c r="G61" s="2" t="s">
        <v>36</v>
      </c>
      <c r="H61" s="2" t="s">
        <v>132</v>
      </c>
      <c r="I61" s="2" t="s">
        <v>133</v>
      </c>
      <c r="J61" s="2" t="s">
        <v>192</v>
      </c>
      <c r="K61" t="b">
        <v>0</v>
      </c>
      <c r="L61" s="2" t="s">
        <v>130</v>
      </c>
    </row>
    <row r="62" spans="1:12" hidden="1" x14ac:dyDescent="0.3">
      <c r="A62" s="2" t="s">
        <v>8</v>
      </c>
      <c r="B62" s="2" t="s">
        <v>23</v>
      </c>
      <c r="C62">
        <v>4</v>
      </c>
      <c r="D62" s="2" t="s">
        <v>195</v>
      </c>
      <c r="E62" s="2" t="s">
        <v>51</v>
      </c>
      <c r="F62" s="2" t="s">
        <v>51</v>
      </c>
      <c r="G62" s="2" t="s">
        <v>36</v>
      </c>
      <c r="H62" s="2" t="s">
        <v>132</v>
      </c>
      <c r="I62" s="2" t="s">
        <v>133</v>
      </c>
      <c r="J62" s="2" t="s">
        <v>192</v>
      </c>
      <c r="K62" t="b">
        <v>0</v>
      </c>
      <c r="L62" s="2" t="s">
        <v>130</v>
      </c>
    </row>
    <row r="63" spans="1:12" hidden="1" x14ac:dyDescent="0.3">
      <c r="A63" s="2" t="s">
        <v>8</v>
      </c>
      <c r="B63" s="2" t="s">
        <v>23</v>
      </c>
      <c r="C63">
        <v>5</v>
      </c>
      <c r="D63" s="2" t="s">
        <v>196</v>
      </c>
      <c r="E63" s="2" t="s">
        <v>32</v>
      </c>
      <c r="F63" s="2" t="s">
        <v>32</v>
      </c>
      <c r="G63" s="2" t="s">
        <v>36</v>
      </c>
      <c r="H63" s="2" t="s">
        <v>132</v>
      </c>
      <c r="I63" s="2" t="s">
        <v>133</v>
      </c>
      <c r="J63" s="2" t="s">
        <v>192</v>
      </c>
      <c r="K63" t="b">
        <v>0</v>
      </c>
      <c r="L63" s="2" t="s">
        <v>130</v>
      </c>
    </row>
    <row r="64" spans="1:12" hidden="1" x14ac:dyDescent="0.3">
      <c r="A64" s="2" t="s">
        <v>8</v>
      </c>
      <c r="B64" s="2" t="s">
        <v>23</v>
      </c>
      <c r="C64">
        <v>6</v>
      </c>
      <c r="D64" s="2" t="s">
        <v>197</v>
      </c>
      <c r="E64" s="2" t="s">
        <v>48</v>
      </c>
      <c r="F64" s="2" t="s">
        <v>48</v>
      </c>
      <c r="G64" s="2" t="s">
        <v>36</v>
      </c>
      <c r="H64" s="2" t="s">
        <v>132</v>
      </c>
      <c r="I64" s="2" t="s">
        <v>133</v>
      </c>
      <c r="J64" s="2" t="s">
        <v>192</v>
      </c>
      <c r="K64" t="b">
        <v>0</v>
      </c>
      <c r="L64" s="2" t="s">
        <v>130</v>
      </c>
    </row>
    <row r="65" spans="1:12" hidden="1" x14ac:dyDescent="0.3">
      <c r="A65" s="2" t="s">
        <v>8</v>
      </c>
      <c r="B65" s="2" t="s">
        <v>23</v>
      </c>
      <c r="C65">
        <v>7</v>
      </c>
      <c r="D65" s="2" t="s">
        <v>198</v>
      </c>
      <c r="E65" s="2" t="s">
        <v>7</v>
      </c>
      <c r="F65" s="2" t="s">
        <v>7</v>
      </c>
      <c r="G65" s="2" t="s">
        <v>36</v>
      </c>
      <c r="H65" s="2" t="s">
        <v>132</v>
      </c>
      <c r="I65" s="2" t="s">
        <v>133</v>
      </c>
      <c r="J65" s="2" t="s">
        <v>192</v>
      </c>
      <c r="K65" t="b">
        <v>0</v>
      </c>
      <c r="L65" s="2" t="s">
        <v>130</v>
      </c>
    </row>
    <row r="66" spans="1:12" hidden="1" x14ac:dyDescent="0.3">
      <c r="A66" s="2" t="s">
        <v>8</v>
      </c>
      <c r="B66" s="2" t="s">
        <v>23</v>
      </c>
      <c r="C66">
        <v>8</v>
      </c>
      <c r="D66" s="2" t="s">
        <v>199</v>
      </c>
      <c r="E66" s="2" t="s">
        <v>31</v>
      </c>
      <c r="F66" s="2" t="s">
        <v>31</v>
      </c>
      <c r="G66" s="2" t="s">
        <v>36</v>
      </c>
      <c r="H66" s="2" t="s">
        <v>132</v>
      </c>
      <c r="I66" s="2" t="s">
        <v>133</v>
      </c>
      <c r="J66" s="2" t="s">
        <v>192</v>
      </c>
      <c r="K66" t="b">
        <v>0</v>
      </c>
      <c r="L66" s="2" t="s">
        <v>130</v>
      </c>
    </row>
    <row r="67" spans="1:12" hidden="1" x14ac:dyDescent="0.3">
      <c r="A67" s="2" t="s">
        <v>8</v>
      </c>
      <c r="B67" s="2" t="s">
        <v>23</v>
      </c>
      <c r="C67">
        <v>9</v>
      </c>
      <c r="D67" s="2" t="s">
        <v>200</v>
      </c>
      <c r="E67" s="2" t="s">
        <v>33</v>
      </c>
      <c r="F67" s="2" t="s">
        <v>33</v>
      </c>
      <c r="G67" s="2" t="s">
        <v>36</v>
      </c>
      <c r="H67" s="2" t="s">
        <v>132</v>
      </c>
      <c r="I67" s="2" t="s">
        <v>133</v>
      </c>
      <c r="J67" s="2" t="s">
        <v>192</v>
      </c>
      <c r="K67" t="b">
        <v>0</v>
      </c>
      <c r="L67" s="2" t="s">
        <v>130</v>
      </c>
    </row>
    <row r="68" spans="1:12" hidden="1" x14ac:dyDescent="0.3">
      <c r="A68" s="2" t="s">
        <v>8</v>
      </c>
      <c r="B68" s="2" t="s">
        <v>23</v>
      </c>
      <c r="C68">
        <v>10</v>
      </c>
      <c r="D68" s="2" t="s">
        <v>201</v>
      </c>
      <c r="E68" s="2" t="s">
        <v>50</v>
      </c>
      <c r="F68" s="2" t="s">
        <v>50</v>
      </c>
      <c r="G68" s="2" t="s">
        <v>36</v>
      </c>
      <c r="H68" s="2" t="s">
        <v>132</v>
      </c>
      <c r="I68" s="2" t="s">
        <v>133</v>
      </c>
      <c r="J68" s="2" t="s">
        <v>192</v>
      </c>
      <c r="K68" t="b">
        <v>0</v>
      </c>
      <c r="L68" s="2" t="s">
        <v>130</v>
      </c>
    </row>
    <row r="69" spans="1:12" hidden="1" x14ac:dyDescent="0.3">
      <c r="A69" s="2" t="s">
        <v>8</v>
      </c>
      <c r="B69" s="2" t="s">
        <v>23</v>
      </c>
      <c r="C69">
        <v>11</v>
      </c>
      <c r="D69" s="2" t="s">
        <v>202</v>
      </c>
      <c r="E69" s="2" t="s">
        <v>17</v>
      </c>
      <c r="F69" s="2" t="s">
        <v>17</v>
      </c>
      <c r="G69" s="2" t="s">
        <v>36</v>
      </c>
      <c r="H69" s="2" t="s">
        <v>132</v>
      </c>
      <c r="I69" s="2" t="s">
        <v>133</v>
      </c>
      <c r="J69" s="2" t="s">
        <v>192</v>
      </c>
      <c r="K69" t="b">
        <v>0</v>
      </c>
      <c r="L69" s="2" t="s">
        <v>130</v>
      </c>
    </row>
    <row r="70" spans="1:12" hidden="1" x14ac:dyDescent="0.3">
      <c r="A70" s="2" t="s">
        <v>8</v>
      </c>
      <c r="B70" s="2" t="s">
        <v>23</v>
      </c>
      <c r="C70">
        <v>12</v>
      </c>
      <c r="D70" s="2" t="s">
        <v>203</v>
      </c>
      <c r="E70" s="2" t="s">
        <v>11</v>
      </c>
      <c r="F70" s="2" t="s">
        <v>11</v>
      </c>
      <c r="G70" s="2" t="s">
        <v>36</v>
      </c>
      <c r="H70" s="2" t="s">
        <v>132</v>
      </c>
      <c r="I70" s="2" t="s">
        <v>133</v>
      </c>
      <c r="J70" s="2" t="s">
        <v>192</v>
      </c>
      <c r="K70" t="b">
        <v>0</v>
      </c>
      <c r="L70" s="2" t="s">
        <v>130</v>
      </c>
    </row>
    <row r="71" spans="1:12" hidden="1" x14ac:dyDescent="0.3">
      <c r="A71" s="2" t="s">
        <v>8</v>
      </c>
      <c r="B71" s="2" t="s">
        <v>23</v>
      </c>
      <c r="C71">
        <v>13</v>
      </c>
      <c r="D71" s="2" t="s">
        <v>204</v>
      </c>
      <c r="E71" s="2" t="s">
        <v>14</v>
      </c>
      <c r="F71" s="2" t="s">
        <v>146</v>
      </c>
      <c r="G71" s="2" t="s">
        <v>36</v>
      </c>
      <c r="H71" s="2" t="s">
        <v>132</v>
      </c>
      <c r="I71" s="2" t="s">
        <v>133</v>
      </c>
      <c r="J71" s="2" t="s">
        <v>192</v>
      </c>
      <c r="K71" t="b">
        <v>1</v>
      </c>
      <c r="L71" s="2" t="s">
        <v>130</v>
      </c>
    </row>
    <row r="72" spans="1:12" hidden="1" x14ac:dyDescent="0.3">
      <c r="A72" s="2" t="s">
        <v>8</v>
      </c>
      <c r="B72" s="2" t="s">
        <v>23</v>
      </c>
      <c r="C72">
        <v>14</v>
      </c>
      <c r="D72" s="2" t="s">
        <v>205</v>
      </c>
      <c r="E72" s="2" t="s">
        <v>25</v>
      </c>
      <c r="F72" s="2" t="s">
        <v>25</v>
      </c>
      <c r="G72" s="2" t="s">
        <v>36</v>
      </c>
      <c r="H72" s="2" t="s">
        <v>132</v>
      </c>
      <c r="I72" s="2" t="s">
        <v>133</v>
      </c>
      <c r="J72" s="2" t="s">
        <v>192</v>
      </c>
      <c r="K72" t="b">
        <v>0</v>
      </c>
      <c r="L72" s="2" t="s">
        <v>130</v>
      </c>
    </row>
    <row r="73" spans="1:12" hidden="1" x14ac:dyDescent="0.3">
      <c r="A73" s="2" t="s">
        <v>8</v>
      </c>
      <c r="B73" s="2" t="s">
        <v>23</v>
      </c>
      <c r="C73">
        <v>15</v>
      </c>
      <c r="D73" s="2" t="s">
        <v>206</v>
      </c>
      <c r="E73" s="2" t="s">
        <v>26</v>
      </c>
      <c r="F73" s="2" t="s">
        <v>26</v>
      </c>
      <c r="G73" s="2" t="s">
        <v>36</v>
      </c>
      <c r="H73" s="2" t="s">
        <v>132</v>
      </c>
      <c r="I73" s="2" t="s">
        <v>133</v>
      </c>
      <c r="J73" s="2" t="s">
        <v>192</v>
      </c>
      <c r="K73" t="b">
        <v>0</v>
      </c>
      <c r="L73" s="2" t="s">
        <v>130</v>
      </c>
    </row>
    <row r="74" spans="1:12" hidden="1" x14ac:dyDescent="0.3">
      <c r="A74" s="2" t="s">
        <v>8</v>
      </c>
      <c r="B74" s="2" t="s">
        <v>23</v>
      </c>
      <c r="C74">
        <v>16</v>
      </c>
      <c r="D74" s="2" t="s">
        <v>207</v>
      </c>
      <c r="E74" s="2" t="s">
        <v>27</v>
      </c>
      <c r="F74" s="2" t="s">
        <v>27</v>
      </c>
      <c r="G74" s="2" t="s">
        <v>36</v>
      </c>
      <c r="H74" s="2" t="s">
        <v>132</v>
      </c>
      <c r="I74" s="2" t="s">
        <v>133</v>
      </c>
      <c r="J74" s="2" t="s">
        <v>192</v>
      </c>
      <c r="K74" t="b">
        <v>0</v>
      </c>
      <c r="L74" s="2" t="s">
        <v>130</v>
      </c>
    </row>
    <row r="75" spans="1:12" hidden="1" x14ac:dyDescent="0.3">
      <c r="A75" s="2" t="s">
        <v>8</v>
      </c>
      <c r="B75" s="2" t="s">
        <v>23</v>
      </c>
      <c r="C75">
        <v>17</v>
      </c>
      <c r="D75" s="2" t="s">
        <v>208</v>
      </c>
      <c r="E75" s="2" t="s">
        <v>47</v>
      </c>
      <c r="F75" s="2" t="s">
        <v>47</v>
      </c>
      <c r="G75" s="2" t="s">
        <v>36</v>
      </c>
      <c r="H75" s="2" t="s">
        <v>132</v>
      </c>
      <c r="I75" s="2" t="s">
        <v>133</v>
      </c>
      <c r="J75" s="2" t="s">
        <v>192</v>
      </c>
      <c r="K75" t="b">
        <v>0</v>
      </c>
      <c r="L75" s="2" t="s">
        <v>130</v>
      </c>
    </row>
    <row r="76" spans="1:12" hidden="1" x14ac:dyDescent="0.3">
      <c r="A76" s="2" t="s">
        <v>8</v>
      </c>
      <c r="B76" s="2" t="s">
        <v>23</v>
      </c>
      <c r="C76">
        <v>18</v>
      </c>
      <c r="D76" s="2" t="s">
        <v>209</v>
      </c>
      <c r="E76" s="2" t="s">
        <v>24</v>
      </c>
      <c r="F76" s="2" t="s">
        <v>24</v>
      </c>
      <c r="G76" s="2" t="s">
        <v>36</v>
      </c>
      <c r="H76" s="2" t="s">
        <v>132</v>
      </c>
      <c r="I76" s="2" t="s">
        <v>133</v>
      </c>
      <c r="J76" s="2" t="s">
        <v>192</v>
      </c>
      <c r="K76" t="b">
        <v>0</v>
      </c>
      <c r="L76" s="2" t="s">
        <v>130</v>
      </c>
    </row>
    <row r="77" spans="1:12" hidden="1" x14ac:dyDescent="0.3">
      <c r="A77" s="2" t="s">
        <v>8</v>
      </c>
      <c r="B77" s="2" t="s">
        <v>23</v>
      </c>
      <c r="C77">
        <v>19</v>
      </c>
      <c r="D77" s="2" t="s">
        <v>210</v>
      </c>
      <c r="E77" s="2" t="s">
        <v>19</v>
      </c>
      <c r="F77" s="2" t="s">
        <v>19</v>
      </c>
      <c r="G77" s="2" t="s">
        <v>36</v>
      </c>
      <c r="H77" s="2" t="s">
        <v>132</v>
      </c>
      <c r="I77" s="2" t="s">
        <v>133</v>
      </c>
      <c r="J77" s="2" t="s">
        <v>192</v>
      </c>
      <c r="K77" t="b">
        <v>0</v>
      </c>
      <c r="L77" s="2" t="s">
        <v>130</v>
      </c>
    </row>
    <row r="78" spans="1:12" hidden="1" x14ac:dyDescent="0.3">
      <c r="A78" s="2" t="s">
        <v>8</v>
      </c>
      <c r="B78" s="2" t="s">
        <v>23</v>
      </c>
      <c r="C78">
        <v>20</v>
      </c>
      <c r="D78" s="2" t="s">
        <v>211</v>
      </c>
      <c r="E78" s="2" t="s">
        <v>13</v>
      </c>
      <c r="F78" s="2" t="s">
        <v>13</v>
      </c>
      <c r="G78" s="2" t="s">
        <v>36</v>
      </c>
      <c r="H78" s="2" t="s">
        <v>132</v>
      </c>
      <c r="I78" s="2" t="s">
        <v>133</v>
      </c>
      <c r="J78" s="2" t="s">
        <v>192</v>
      </c>
      <c r="K78" t="b">
        <v>0</v>
      </c>
      <c r="L78" s="2" t="s">
        <v>130</v>
      </c>
    </row>
    <row r="79" spans="1:12" hidden="1" x14ac:dyDescent="0.3">
      <c r="A79" s="2" t="s">
        <v>8</v>
      </c>
      <c r="B79" s="2" t="s">
        <v>23</v>
      </c>
      <c r="C79">
        <v>21</v>
      </c>
      <c r="D79" s="2" t="s">
        <v>212</v>
      </c>
      <c r="E79" s="2" t="s">
        <v>16</v>
      </c>
      <c r="F79" s="2" t="s">
        <v>155</v>
      </c>
      <c r="G79" s="2" t="s">
        <v>36</v>
      </c>
      <c r="H79" s="2" t="s">
        <v>132</v>
      </c>
      <c r="I79" s="2" t="s">
        <v>133</v>
      </c>
      <c r="J79" s="2" t="s">
        <v>192</v>
      </c>
      <c r="K79" t="b">
        <v>1</v>
      </c>
      <c r="L79" s="2" t="s">
        <v>130</v>
      </c>
    </row>
    <row r="80" spans="1:12" hidden="1" x14ac:dyDescent="0.3">
      <c r="A80" s="2" t="s">
        <v>8</v>
      </c>
      <c r="B80" s="2" t="s">
        <v>23</v>
      </c>
      <c r="C80">
        <v>22</v>
      </c>
      <c r="D80" s="2" t="s">
        <v>213</v>
      </c>
      <c r="E80" s="2" t="s">
        <v>18</v>
      </c>
      <c r="F80" s="2" t="s">
        <v>18</v>
      </c>
      <c r="G80" s="2" t="s">
        <v>36</v>
      </c>
      <c r="H80" s="2" t="s">
        <v>132</v>
      </c>
      <c r="I80" s="2" t="s">
        <v>133</v>
      </c>
      <c r="J80" s="2" t="s">
        <v>192</v>
      </c>
      <c r="K80" t="b">
        <v>0</v>
      </c>
      <c r="L80" s="2" t="s">
        <v>130</v>
      </c>
    </row>
    <row r="81" spans="1:12" hidden="1" x14ac:dyDescent="0.3">
      <c r="A81" s="2" t="s">
        <v>8</v>
      </c>
      <c r="B81" s="2" t="s">
        <v>23</v>
      </c>
      <c r="C81">
        <v>23</v>
      </c>
      <c r="D81" s="2" t="s">
        <v>214</v>
      </c>
      <c r="E81" s="2" t="s">
        <v>49</v>
      </c>
      <c r="F81" s="2" t="s">
        <v>49</v>
      </c>
      <c r="G81" s="2" t="s">
        <v>38</v>
      </c>
      <c r="H81" s="2" t="s">
        <v>158</v>
      </c>
      <c r="I81" s="2" t="s">
        <v>133</v>
      </c>
      <c r="J81" s="2" t="s">
        <v>192</v>
      </c>
      <c r="K81" t="b">
        <v>0</v>
      </c>
      <c r="L81" s="2" t="s">
        <v>130</v>
      </c>
    </row>
    <row r="82" spans="1:12" hidden="1" x14ac:dyDescent="0.3">
      <c r="A82" s="2" t="s">
        <v>8</v>
      </c>
      <c r="B82" s="2" t="s">
        <v>23</v>
      </c>
      <c r="C82">
        <v>24</v>
      </c>
      <c r="D82" s="2" t="s">
        <v>215</v>
      </c>
      <c r="E82" s="2" t="s">
        <v>37</v>
      </c>
      <c r="F82" s="2" t="s">
        <v>37</v>
      </c>
      <c r="G82" s="2" t="s">
        <v>38</v>
      </c>
      <c r="H82" s="2" t="s">
        <v>158</v>
      </c>
      <c r="I82" s="2" t="s">
        <v>133</v>
      </c>
      <c r="J82" s="2" t="s">
        <v>192</v>
      </c>
      <c r="K82" t="b">
        <v>0</v>
      </c>
      <c r="L82" s="2" t="s">
        <v>130</v>
      </c>
    </row>
    <row r="83" spans="1:12" hidden="1" x14ac:dyDescent="0.3">
      <c r="A83" s="2" t="s">
        <v>8</v>
      </c>
      <c r="B83" s="2" t="s">
        <v>23</v>
      </c>
      <c r="C83">
        <v>25</v>
      </c>
      <c r="D83" s="2" t="s">
        <v>216</v>
      </c>
      <c r="E83" s="2" t="s">
        <v>40</v>
      </c>
      <c r="F83" s="2" t="s">
        <v>40</v>
      </c>
      <c r="G83" s="2" t="s">
        <v>38</v>
      </c>
      <c r="H83" s="2" t="s">
        <v>158</v>
      </c>
      <c r="I83" s="2" t="s">
        <v>133</v>
      </c>
      <c r="J83" s="2" t="s">
        <v>192</v>
      </c>
      <c r="K83" t="b">
        <v>0</v>
      </c>
      <c r="L83" s="2" t="s">
        <v>130</v>
      </c>
    </row>
    <row r="84" spans="1:12" hidden="1" x14ac:dyDescent="0.3">
      <c r="A84" s="2" t="s">
        <v>8</v>
      </c>
      <c r="B84" s="2" t="s">
        <v>23</v>
      </c>
      <c r="C84">
        <v>26</v>
      </c>
      <c r="D84" s="2" t="s">
        <v>217</v>
      </c>
      <c r="E84" s="2" t="s">
        <v>41</v>
      </c>
      <c r="F84" s="2" t="s">
        <v>41</v>
      </c>
      <c r="G84" s="2" t="s">
        <v>38</v>
      </c>
      <c r="H84" s="2" t="s">
        <v>158</v>
      </c>
      <c r="I84" s="2" t="s">
        <v>133</v>
      </c>
      <c r="J84" s="2" t="s">
        <v>192</v>
      </c>
      <c r="K84" t="b">
        <v>0</v>
      </c>
      <c r="L84" s="2" t="s">
        <v>130</v>
      </c>
    </row>
    <row r="85" spans="1:12" hidden="1" x14ac:dyDescent="0.3">
      <c r="A85" s="2" t="s">
        <v>8</v>
      </c>
      <c r="B85" s="2" t="s">
        <v>23</v>
      </c>
      <c r="C85">
        <v>27</v>
      </c>
      <c r="D85" s="2" t="s">
        <v>218</v>
      </c>
      <c r="E85" s="2" t="s">
        <v>39</v>
      </c>
      <c r="F85" s="2" t="s">
        <v>39</v>
      </c>
      <c r="G85" s="2" t="s">
        <v>38</v>
      </c>
      <c r="H85" s="2" t="s">
        <v>158</v>
      </c>
      <c r="I85" s="2" t="s">
        <v>133</v>
      </c>
      <c r="J85" s="2" t="s">
        <v>192</v>
      </c>
      <c r="K85" t="b">
        <v>0</v>
      </c>
      <c r="L85" s="2" t="s">
        <v>130</v>
      </c>
    </row>
    <row r="86" spans="1:12" hidden="1" x14ac:dyDescent="0.3">
      <c r="A86" s="2" t="s">
        <v>8</v>
      </c>
      <c r="B86" s="2" t="s">
        <v>23</v>
      </c>
      <c r="C86">
        <v>28</v>
      </c>
      <c r="D86" s="2" t="s">
        <v>219</v>
      </c>
      <c r="E86" s="2" t="s">
        <v>42</v>
      </c>
      <c r="F86" s="2" t="s">
        <v>42</v>
      </c>
      <c r="G86" s="2" t="s">
        <v>46</v>
      </c>
      <c r="H86" s="2" t="s">
        <v>163</v>
      </c>
      <c r="I86" s="2" t="s">
        <v>133</v>
      </c>
      <c r="J86" s="2" t="s">
        <v>192</v>
      </c>
      <c r="K86" t="b">
        <v>0</v>
      </c>
      <c r="L86" s="2" t="s">
        <v>130</v>
      </c>
    </row>
    <row r="87" spans="1:12" hidden="1" x14ac:dyDescent="0.3">
      <c r="A87" s="2" t="s">
        <v>8</v>
      </c>
      <c r="B87" s="2" t="s">
        <v>23</v>
      </c>
      <c r="C87">
        <v>29</v>
      </c>
      <c r="D87" s="2" t="s">
        <v>220</v>
      </c>
      <c r="E87" s="2" t="s">
        <v>43</v>
      </c>
      <c r="F87" s="2" t="s">
        <v>43</v>
      </c>
      <c r="G87" s="2" t="s">
        <v>46</v>
      </c>
      <c r="H87" s="2" t="s">
        <v>163</v>
      </c>
      <c r="I87" s="2" t="s">
        <v>133</v>
      </c>
      <c r="J87" s="2" t="s">
        <v>192</v>
      </c>
      <c r="K87" t="b">
        <v>0</v>
      </c>
      <c r="L87" s="2" t="s">
        <v>130</v>
      </c>
    </row>
    <row r="88" spans="1:12" hidden="1" x14ac:dyDescent="0.3">
      <c r="A88" s="2" t="s">
        <v>8</v>
      </c>
      <c r="B88" s="2" t="s">
        <v>23</v>
      </c>
      <c r="C88">
        <v>30</v>
      </c>
      <c r="D88" s="2" t="s">
        <v>221</v>
      </c>
      <c r="E88" s="2" t="s">
        <v>44</v>
      </c>
      <c r="F88" s="2" t="s">
        <v>44</v>
      </c>
      <c r="G88" s="2" t="s">
        <v>46</v>
      </c>
      <c r="H88" s="2" t="s">
        <v>163</v>
      </c>
      <c r="I88" s="2" t="s">
        <v>133</v>
      </c>
      <c r="J88" s="2" t="s">
        <v>192</v>
      </c>
      <c r="K88" t="b">
        <v>0</v>
      </c>
      <c r="L88" s="2" t="s">
        <v>130</v>
      </c>
    </row>
    <row r="89" spans="1:12" hidden="1" x14ac:dyDescent="0.3">
      <c r="A89" s="2" t="s">
        <v>8</v>
      </c>
      <c r="B89" s="2" t="s">
        <v>23</v>
      </c>
      <c r="C89">
        <v>31</v>
      </c>
      <c r="D89" s="2" t="s">
        <v>222</v>
      </c>
      <c r="E89" s="2" t="s">
        <v>45</v>
      </c>
      <c r="F89" s="2" t="s">
        <v>45</v>
      </c>
      <c r="G89" s="2" t="s">
        <v>46</v>
      </c>
      <c r="H89" s="2" t="s">
        <v>163</v>
      </c>
      <c r="I89" s="2" t="s">
        <v>133</v>
      </c>
      <c r="J89" s="2" t="s">
        <v>192</v>
      </c>
      <c r="K89" t="b">
        <v>0</v>
      </c>
      <c r="L89" s="2" t="s">
        <v>130</v>
      </c>
    </row>
    <row r="90" spans="1:12" hidden="1" x14ac:dyDescent="0.3">
      <c r="A90" s="2" t="s">
        <v>8</v>
      </c>
      <c r="B90" s="2" t="s">
        <v>223</v>
      </c>
      <c r="C90">
        <v>1</v>
      </c>
      <c r="D90" s="2" t="s">
        <v>224</v>
      </c>
      <c r="E90" s="2" t="s">
        <v>56</v>
      </c>
      <c r="F90" s="2" t="s">
        <v>225</v>
      </c>
      <c r="G90" s="2" t="s">
        <v>36</v>
      </c>
      <c r="H90" s="2" t="s">
        <v>132</v>
      </c>
      <c r="I90" s="2" t="s">
        <v>133</v>
      </c>
      <c r="J90" s="2" t="s">
        <v>226</v>
      </c>
      <c r="K90" t="b">
        <v>1</v>
      </c>
      <c r="L90" s="2" t="s">
        <v>130</v>
      </c>
    </row>
    <row r="91" spans="1:12" hidden="1" x14ac:dyDescent="0.3">
      <c r="A91" s="2" t="s">
        <v>8</v>
      </c>
      <c r="B91" s="2" t="s">
        <v>223</v>
      </c>
      <c r="C91">
        <v>2</v>
      </c>
      <c r="D91" s="2" t="s">
        <v>227</v>
      </c>
      <c r="E91" s="2" t="s">
        <v>71</v>
      </c>
      <c r="F91" s="2" t="s">
        <v>228</v>
      </c>
      <c r="G91" s="2" t="s">
        <v>36</v>
      </c>
      <c r="H91" s="2" t="s">
        <v>132</v>
      </c>
      <c r="I91" s="2" t="s">
        <v>133</v>
      </c>
      <c r="J91" s="2" t="s">
        <v>226</v>
      </c>
      <c r="K91" t="b">
        <v>1</v>
      </c>
      <c r="L91" s="2" t="s">
        <v>130</v>
      </c>
    </row>
    <row r="92" spans="1:12" hidden="1" x14ac:dyDescent="0.3">
      <c r="A92" s="2" t="s">
        <v>8</v>
      </c>
      <c r="B92" s="2" t="s">
        <v>223</v>
      </c>
      <c r="C92">
        <v>3</v>
      </c>
      <c r="D92" s="2" t="s">
        <v>229</v>
      </c>
      <c r="E92" s="2" t="s">
        <v>28</v>
      </c>
      <c r="F92" s="2" t="s">
        <v>28</v>
      </c>
      <c r="G92" s="2" t="s">
        <v>36</v>
      </c>
      <c r="H92" s="2" t="s">
        <v>132</v>
      </c>
      <c r="I92" s="2" t="s">
        <v>133</v>
      </c>
      <c r="J92" s="2" t="s">
        <v>226</v>
      </c>
      <c r="K92" t="b">
        <v>0</v>
      </c>
      <c r="L92" s="2" t="s">
        <v>130</v>
      </c>
    </row>
    <row r="93" spans="1:12" hidden="1" x14ac:dyDescent="0.3">
      <c r="A93" s="2" t="s">
        <v>8</v>
      </c>
      <c r="B93" s="2" t="s">
        <v>223</v>
      </c>
      <c r="C93">
        <v>4</v>
      </c>
      <c r="D93" s="2" t="s">
        <v>230</v>
      </c>
      <c r="E93" s="2" t="s">
        <v>30</v>
      </c>
      <c r="F93" s="2" t="s">
        <v>30</v>
      </c>
      <c r="G93" s="2" t="s">
        <v>36</v>
      </c>
      <c r="H93" s="2" t="s">
        <v>132</v>
      </c>
      <c r="I93" s="2" t="s">
        <v>133</v>
      </c>
      <c r="J93" s="2" t="s">
        <v>226</v>
      </c>
      <c r="K93" t="b">
        <v>0</v>
      </c>
      <c r="L93" s="2" t="s">
        <v>130</v>
      </c>
    </row>
    <row r="94" spans="1:12" hidden="1" x14ac:dyDescent="0.3">
      <c r="A94" s="2" t="s">
        <v>8</v>
      </c>
      <c r="B94" s="2" t="s">
        <v>223</v>
      </c>
      <c r="C94">
        <v>5</v>
      </c>
      <c r="D94" s="2" t="s">
        <v>231</v>
      </c>
      <c r="E94" s="2" t="s">
        <v>51</v>
      </c>
      <c r="F94" s="2" t="s">
        <v>51</v>
      </c>
      <c r="G94" s="2" t="s">
        <v>36</v>
      </c>
      <c r="H94" s="2" t="s">
        <v>132</v>
      </c>
      <c r="I94" s="2" t="s">
        <v>133</v>
      </c>
      <c r="J94" s="2" t="s">
        <v>226</v>
      </c>
      <c r="K94" t="b">
        <v>0</v>
      </c>
      <c r="L94" s="2" t="s">
        <v>130</v>
      </c>
    </row>
    <row r="95" spans="1:12" hidden="1" x14ac:dyDescent="0.3">
      <c r="A95" s="2" t="s">
        <v>8</v>
      </c>
      <c r="B95" s="2" t="s">
        <v>223</v>
      </c>
      <c r="C95">
        <v>6</v>
      </c>
      <c r="D95" s="2" t="s">
        <v>232</v>
      </c>
      <c r="E95" s="2" t="s">
        <v>70</v>
      </c>
      <c r="F95" s="2" t="s">
        <v>70</v>
      </c>
      <c r="G95" s="2" t="s">
        <v>36</v>
      </c>
      <c r="H95" s="2" t="s">
        <v>132</v>
      </c>
      <c r="I95" s="2" t="s">
        <v>133</v>
      </c>
      <c r="J95" s="2" t="s">
        <v>226</v>
      </c>
      <c r="K95" t="b">
        <v>0</v>
      </c>
      <c r="L95" s="2" t="s">
        <v>130</v>
      </c>
    </row>
    <row r="96" spans="1:12" hidden="1" x14ac:dyDescent="0.3">
      <c r="A96" s="2" t="s">
        <v>8</v>
      </c>
      <c r="B96" s="2" t="s">
        <v>223</v>
      </c>
      <c r="C96">
        <v>7</v>
      </c>
      <c r="D96" s="2" t="s">
        <v>233</v>
      </c>
      <c r="E96" s="2" t="s">
        <v>48</v>
      </c>
      <c r="F96" s="2" t="s">
        <v>48</v>
      </c>
      <c r="G96" s="2" t="s">
        <v>36</v>
      </c>
      <c r="H96" s="2" t="s">
        <v>132</v>
      </c>
      <c r="I96" s="2" t="s">
        <v>133</v>
      </c>
      <c r="J96" s="2" t="s">
        <v>226</v>
      </c>
      <c r="K96" t="b">
        <v>0</v>
      </c>
      <c r="L96" s="2" t="s">
        <v>130</v>
      </c>
    </row>
    <row r="97" spans="1:12" hidden="1" x14ac:dyDescent="0.3">
      <c r="A97" s="2" t="s">
        <v>8</v>
      </c>
      <c r="B97" s="2" t="s">
        <v>223</v>
      </c>
      <c r="C97">
        <v>8</v>
      </c>
      <c r="D97" s="2" t="s">
        <v>234</v>
      </c>
      <c r="E97" s="2" t="s">
        <v>7</v>
      </c>
      <c r="F97" s="2" t="s">
        <v>7</v>
      </c>
      <c r="G97" s="2" t="s">
        <v>36</v>
      </c>
      <c r="H97" s="2" t="s">
        <v>132</v>
      </c>
      <c r="I97" s="2" t="s">
        <v>133</v>
      </c>
      <c r="J97" s="2" t="s">
        <v>226</v>
      </c>
      <c r="K97" t="b">
        <v>0</v>
      </c>
      <c r="L97" s="2" t="s">
        <v>130</v>
      </c>
    </row>
    <row r="98" spans="1:12" hidden="1" x14ac:dyDescent="0.3">
      <c r="A98" s="2" t="s">
        <v>8</v>
      </c>
      <c r="B98" s="2" t="s">
        <v>223</v>
      </c>
      <c r="C98">
        <v>9</v>
      </c>
      <c r="D98" s="2" t="s">
        <v>235</v>
      </c>
      <c r="E98" s="2" t="s">
        <v>31</v>
      </c>
      <c r="F98" s="2" t="s">
        <v>31</v>
      </c>
      <c r="G98" s="2" t="s">
        <v>36</v>
      </c>
      <c r="H98" s="2" t="s">
        <v>132</v>
      </c>
      <c r="I98" s="2" t="s">
        <v>133</v>
      </c>
      <c r="J98" s="2" t="s">
        <v>226</v>
      </c>
      <c r="K98" t="b">
        <v>0</v>
      </c>
      <c r="L98" s="2" t="s">
        <v>130</v>
      </c>
    </row>
    <row r="99" spans="1:12" hidden="1" x14ac:dyDescent="0.3">
      <c r="A99" s="2" t="s">
        <v>8</v>
      </c>
      <c r="B99" s="2" t="s">
        <v>223</v>
      </c>
      <c r="C99">
        <v>10</v>
      </c>
      <c r="D99" s="2" t="s">
        <v>236</v>
      </c>
      <c r="E99" s="2" t="s">
        <v>33</v>
      </c>
      <c r="F99" s="2" t="s">
        <v>33</v>
      </c>
      <c r="G99" s="2" t="s">
        <v>36</v>
      </c>
      <c r="H99" s="2" t="s">
        <v>132</v>
      </c>
      <c r="I99" s="2" t="s">
        <v>133</v>
      </c>
      <c r="J99" s="2" t="s">
        <v>226</v>
      </c>
      <c r="K99" t="b">
        <v>0</v>
      </c>
      <c r="L99" s="2" t="s">
        <v>130</v>
      </c>
    </row>
    <row r="100" spans="1:12" hidden="1" x14ac:dyDescent="0.3">
      <c r="A100" s="2" t="s">
        <v>8</v>
      </c>
      <c r="B100" s="2" t="s">
        <v>223</v>
      </c>
      <c r="C100">
        <v>11</v>
      </c>
      <c r="D100" s="2" t="s">
        <v>237</v>
      </c>
      <c r="E100" s="2" t="s">
        <v>58</v>
      </c>
      <c r="F100" s="2" t="s">
        <v>58</v>
      </c>
      <c r="G100" s="2" t="s">
        <v>36</v>
      </c>
      <c r="H100" s="2" t="s">
        <v>132</v>
      </c>
      <c r="I100" s="2" t="s">
        <v>133</v>
      </c>
      <c r="J100" s="2" t="s">
        <v>226</v>
      </c>
      <c r="K100" t="b">
        <v>0</v>
      </c>
      <c r="L100" s="2" t="s">
        <v>130</v>
      </c>
    </row>
    <row r="101" spans="1:12" hidden="1" x14ac:dyDescent="0.3">
      <c r="A101" s="2" t="s">
        <v>8</v>
      </c>
      <c r="B101" s="2" t="s">
        <v>223</v>
      </c>
      <c r="C101">
        <v>12</v>
      </c>
      <c r="D101" s="2" t="s">
        <v>238</v>
      </c>
      <c r="E101" s="2" t="s">
        <v>59</v>
      </c>
      <c r="F101" s="2" t="s">
        <v>239</v>
      </c>
      <c r="G101" s="2" t="s">
        <v>36</v>
      </c>
      <c r="H101" s="2" t="s">
        <v>132</v>
      </c>
      <c r="I101" s="2" t="s">
        <v>133</v>
      </c>
      <c r="J101" s="2" t="s">
        <v>226</v>
      </c>
      <c r="K101" t="b">
        <v>1</v>
      </c>
      <c r="L101" s="2" t="s">
        <v>130</v>
      </c>
    </row>
    <row r="102" spans="1:12" hidden="1" x14ac:dyDescent="0.3">
      <c r="A102" s="2" t="s">
        <v>8</v>
      </c>
      <c r="B102" s="2" t="s">
        <v>223</v>
      </c>
      <c r="C102">
        <v>13</v>
      </c>
      <c r="D102" s="2" t="s">
        <v>240</v>
      </c>
      <c r="E102" s="2" t="s">
        <v>61</v>
      </c>
      <c r="F102" s="2" t="s">
        <v>241</v>
      </c>
      <c r="G102" s="2" t="s">
        <v>36</v>
      </c>
      <c r="H102" s="2" t="s">
        <v>132</v>
      </c>
      <c r="I102" s="2" t="s">
        <v>133</v>
      </c>
      <c r="J102" s="2" t="s">
        <v>226</v>
      </c>
      <c r="K102" t="b">
        <v>1</v>
      </c>
      <c r="L102" s="2" t="s">
        <v>130</v>
      </c>
    </row>
    <row r="103" spans="1:12" hidden="1" x14ac:dyDescent="0.3">
      <c r="A103" s="2" t="s">
        <v>8</v>
      </c>
      <c r="B103" s="2" t="s">
        <v>223</v>
      </c>
      <c r="C103">
        <v>14</v>
      </c>
      <c r="D103" s="2" t="s">
        <v>242</v>
      </c>
      <c r="E103" s="2" t="s">
        <v>62</v>
      </c>
      <c r="F103" s="2" t="s">
        <v>62</v>
      </c>
      <c r="G103" s="2" t="s">
        <v>36</v>
      </c>
      <c r="H103" s="2" t="s">
        <v>132</v>
      </c>
      <c r="I103" s="2" t="s">
        <v>133</v>
      </c>
      <c r="J103" s="2" t="s">
        <v>226</v>
      </c>
      <c r="K103" t="b">
        <v>0</v>
      </c>
      <c r="L103" s="2" t="s">
        <v>130</v>
      </c>
    </row>
    <row r="104" spans="1:12" hidden="1" x14ac:dyDescent="0.3">
      <c r="A104" s="2" t="s">
        <v>8</v>
      </c>
      <c r="B104" s="2" t="s">
        <v>223</v>
      </c>
      <c r="C104">
        <v>15</v>
      </c>
      <c r="D104" s="2" t="s">
        <v>243</v>
      </c>
      <c r="E104" s="2" t="s">
        <v>53</v>
      </c>
      <c r="F104" s="2" t="s">
        <v>53</v>
      </c>
      <c r="G104" s="2" t="s">
        <v>36</v>
      </c>
      <c r="H104" s="2" t="s">
        <v>132</v>
      </c>
      <c r="I104" s="2" t="s">
        <v>133</v>
      </c>
      <c r="J104" s="2" t="s">
        <v>226</v>
      </c>
      <c r="K104" t="b">
        <v>0</v>
      </c>
      <c r="L104" s="2" t="s">
        <v>130</v>
      </c>
    </row>
    <row r="105" spans="1:12" hidden="1" x14ac:dyDescent="0.3">
      <c r="A105" s="2" t="s">
        <v>8</v>
      </c>
      <c r="B105" s="2" t="s">
        <v>223</v>
      </c>
      <c r="C105">
        <v>16</v>
      </c>
      <c r="D105" s="2" t="s">
        <v>244</v>
      </c>
      <c r="E105" s="2" t="s">
        <v>17</v>
      </c>
      <c r="F105" s="2" t="s">
        <v>17</v>
      </c>
      <c r="G105" s="2" t="s">
        <v>36</v>
      </c>
      <c r="H105" s="2" t="s">
        <v>132</v>
      </c>
      <c r="I105" s="2" t="s">
        <v>133</v>
      </c>
      <c r="J105" s="2" t="s">
        <v>226</v>
      </c>
      <c r="K105" t="b">
        <v>0</v>
      </c>
      <c r="L105" s="2" t="s">
        <v>130</v>
      </c>
    </row>
    <row r="106" spans="1:12" hidden="1" x14ac:dyDescent="0.3">
      <c r="A106" s="2" t="s">
        <v>8</v>
      </c>
      <c r="B106" s="2" t="s">
        <v>223</v>
      </c>
      <c r="C106">
        <v>17</v>
      </c>
      <c r="D106" s="2" t="s">
        <v>245</v>
      </c>
      <c r="E106" s="2" t="s">
        <v>60</v>
      </c>
      <c r="F106" s="2" t="s">
        <v>60</v>
      </c>
      <c r="G106" s="2" t="s">
        <v>36</v>
      </c>
      <c r="H106" s="2" t="s">
        <v>132</v>
      </c>
      <c r="I106" s="2" t="s">
        <v>133</v>
      </c>
      <c r="J106" s="2" t="s">
        <v>226</v>
      </c>
      <c r="K106" t="b">
        <v>0</v>
      </c>
      <c r="L106" s="2" t="s">
        <v>130</v>
      </c>
    </row>
    <row r="107" spans="1:12" hidden="1" x14ac:dyDescent="0.3">
      <c r="A107" s="2" t="s">
        <v>8</v>
      </c>
      <c r="B107" s="2" t="s">
        <v>223</v>
      </c>
      <c r="C107">
        <v>18</v>
      </c>
      <c r="D107" s="2" t="s">
        <v>246</v>
      </c>
      <c r="E107" s="2" t="s">
        <v>11</v>
      </c>
      <c r="F107" s="2" t="s">
        <v>11</v>
      </c>
      <c r="G107" s="2" t="s">
        <v>36</v>
      </c>
      <c r="H107" s="2" t="s">
        <v>132</v>
      </c>
      <c r="I107" s="2" t="s">
        <v>133</v>
      </c>
      <c r="J107" s="2" t="s">
        <v>226</v>
      </c>
      <c r="K107" t="b">
        <v>0</v>
      </c>
      <c r="L107" s="2" t="s">
        <v>130</v>
      </c>
    </row>
    <row r="108" spans="1:12" hidden="1" x14ac:dyDescent="0.3">
      <c r="A108" s="2" t="s">
        <v>8</v>
      </c>
      <c r="B108" s="2" t="s">
        <v>223</v>
      </c>
      <c r="C108">
        <v>19</v>
      </c>
      <c r="D108" s="2" t="s">
        <v>247</v>
      </c>
      <c r="E108" s="2" t="s">
        <v>55</v>
      </c>
      <c r="F108" s="2" t="s">
        <v>55</v>
      </c>
      <c r="G108" s="2" t="s">
        <v>36</v>
      </c>
      <c r="H108" s="2" t="s">
        <v>132</v>
      </c>
      <c r="I108" s="2" t="s">
        <v>133</v>
      </c>
      <c r="J108" s="2" t="s">
        <v>226</v>
      </c>
      <c r="K108" t="b">
        <v>0</v>
      </c>
      <c r="L108" s="2" t="s">
        <v>130</v>
      </c>
    </row>
    <row r="109" spans="1:12" hidden="1" x14ac:dyDescent="0.3">
      <c r="A109" s="2" t="s">
        <v>8</v>
      </c>
      <c r="B109" s="2" t="s">
        <v>223</v>
      </c>
      <c r="C109">
        <v>20</v>
      </c>
      <c r="D109" s="2" t="s">
        <v>248</v>
      </c>
      <c r="E109" s="2" t="s">
        <v>14</v>
      </c>
      <c r="F109" s="2" t="s">
        <v>146</v>
      </c>
      <c r="G109" s="2" t="s">
        <v>36</v>
      </c>
      <c r="H109" s="2" t="s">
        <v>132</v>
      </c>
      <c r="I109" s="2" t="s">
        <v>133</v>
      </c>
      <c r="J109" s="2" t="s">
        <v>226</v>
      </c>
      <c r="K109" t="b">
        <v>1</v>
      </c>
      <c r="L109" s="2" t="s">
        <v>130</v>
      </c>
    </row>
    <row r="110" spans="1:12" hidden="1" x14ac:dyDescent="0.3">
      <c r="A110" s="2" t="s">
        <v>8</v>
      </c>
      <c r="B110" s="2" t="s">
        <v>223</v>
      </c>
      <c r="C110">
        <v>21</v>
      </c>
      <c r="D110" s="2" t="s">
        <v>249</v>
      </c>
      <c r="E110" s="2" t="s">
        <v>66</v>
      </c>
      <c r="F110" s="2" t="s">
        <v>66</v>
      </c>
      <c r="G110" s="2" t="s">
        <v>36</v>
      </c>
      <c r="H110" s="2" t="s">
        <v>132</v>
      </c>
      <c r="I110" s="2" t="s">
        <v>133</v>
      </c>
      <c r="J110" s="2" t="s">
        <v>226</v>
      </c>
      <c r="K110" t="b">
        <v>0</v>
      </c>
      <c r="L110" s="2" t="s">
        <v>130</v>
      </c>
    </row>
    <row r="111" spans="1:12" hidden="1" x14ac:dyDescent="0.3">
      <c r="A111" s="2" t="s">
        <v>8</v>
      </c>
      <c r="B111" s="2" t="s">
        <v>223</v>
      </c>
      <c r="C111">
        <v>22</v>
      </c>
      <c r="D111" s="2" t="s">
        <v>250</v>
      </c>
      <c r="E111" s="2" t="s">
        <v>25</v>
      </c>
      <c r="F111" s="2" t="s">
        <v>25</v>
      </c>
      <c r="G111" s="2" t="s">
        <v>36</v>
      </c>
      <c r="H111" s="2" t="s">
        <v>132</v>
      </c>
      <c r="I111" s="2" t="s">
        <v>133</v>
      </c>
      <c r="J111" s="2" t="s">
        <v>226</v>
      </c>
      <c r="K111" t="b">
        <v>0</v>
      </c>
      <c r="L111" s="2" t="s">
        <v>130</v>
      </c>
    </row>
    <row r="112" spans="1:12" hidden="1" x14ac:dyDescent="0.3">
      <c r="A112" s="2" t="s">
        <v>8</v>
      </c>
      <c r="B112" s="2" t="s">
        <v>223</v>
      </c>
      <c r="C112">
        <v>23</v>
      </c>
      <c r="D112" s="2" t="s">
        <v>251</v>
      </c>
      <c r="E112" s="2" t="s">
        <v>26</v>
      </c>
      <c r="F112" s="2" t="s">
        <v>26</v>
      </c>
      <c r="G112" s="2" t="s">
        <v>36</v>
      </c>
      <c r="H112" s="2" t="s">
        <v>132</v>
      </c>
      <c r="I112" s="2" t="s">
        <v>133</v>
      </c>
      <c r="J112" s="2" t="s">
        <v>226</v>
      </c>
      <c r="K112" t="b">
        <v>0</v>
      </c>
      <c r="L112" s="2" t="s">
        <v>130</v>
      </c>
    </row>
    <row r="113" spans="1:12" hidden="1" x14ac:dyDescent="0.3">
      <c r="A113" s="2" t="s">
        <v>8</v>
      </c>
      <c r="B113" s="2" t="s">
        <v>223</v>
      </c>
      <c r="C113">
        <v>24</v>
      </c>
      <c r="D113" s="2" t="s">
        <v>252</v>
      </c>
      <c r="E113" s="2" t="s">
        <v>27</v>
      </c>
      <c r="F113" s="2" t="s">
        <v>27</v>
      </c>
      <c r="G113" s="2" t="s">
        <v>36</v>
      </c>
      <c r="H113" s="2" t="s">
        <v>132</v>
      </c>
      <c r="I113" s="2" t="s">
        <v>133</v>
      </c>
      <c r="J113" s="2" t="s">
        <v>226</v>
      </c>
      <c r="K113" t="b">
        <v>0</v>
      </c>
      <c r="L113" s="2" t="s">
        <v>130</v>
      </c>
    </row>
    <row r="114" spans="1:12" hidden="1" x14ac:dyDescent="0.3">
      <c r="A114" s="2" t="s">
        <v>8</v>
      </c>
      <c r="B114" s="2" t="s">
        <v>223</v>
      </c>
      <c r="C114">
        <v>25</v>
      </c>
      <c r="D114" s="2" t="s">
        <v>253</v>
      </c>
      <c r="E114" s="2" t="s">
        <v>47</v>
      </c>
      <c r="F114" s="2" t="s">
        <v>47</v>
      </c>
      <c r="G114" s="2" t="s">
        <v>36</v>
      </c>
      <c r="H114" s="2" t="s">
        <v>132</v>
      </c>
      <c r="I114" s="2" t="s">
        <v>133</v>
      </c>
      <c r="J114" s="2" t="s">
        <v>226</v>
      </c>
      <c r="K114" t="b">
        <v>0</v>
      </c>
      <c r="L114" s="2" t="s">
        <v>130</v>
      </c>
    </row>
    <row r="115" spans="1:12" hidden="1" x14ac:dyDescent="0.3">
      <c r="A115" s="2" t="s">
        <v>8</v>
      </c>
      <c r="B115" s="2" t="s">
        <v>223</v>
      </c>
      <c r="C115">
        <v>26</v>
      </c>
      <c r="D115" s="2" t="s">
        <v>254</v>
      </c>
      <c r="E115" s="2" t="s">
        <v>24</v>
      </c>
      <c r="F115" s="2" t="s">
        <v>24</v>
      </c>
      <c r="G115" s="2" t="s">
        <v>36</v>
      </c>
      <c r="H115" s="2" t="s">
        <v>132</v>
      </c>
      <c r="I115" s="2" t="s">
        <v>133</v>
      </c>
      <c r="J115" s="2" t="s">
        <v>226</v>
      </c>
      <c r="K115" t="b">
        <v>0</v>
      </c>
      <c r="L115" s="2" t="s">
        <v>130</v>
      </c>
    </row>
    <row r="116" spans="1:12" hidden="1" x14ac:dyDescent="0.3">
      <c r="A116" s="2" t="s">
        <v>8</v>
      </c>
      <c r="B116" s="2" t="s">
        <v>223</v>
      </c>
      <c r="C116">
        <v>27</v>
      </c>
      <c r="D116" s="2" t="s">
        <v>255</v>
      </c>
      <c r="E116" s="2" t="s">
        <v>65</v>
      </c>
      <c r="F116" s="2" t="s">
        <v>65</v>
      </c>
      <c r="G116" s="2" t="s">
        <v>36</v>
      </c>
      <c r="H116" s="2" t="s">
        <v>132</v>
      </c>
      <c r="I116" s="2" t="s">
        <v>133</v>
      </c>
      <c r="J116" s="2" t="s">
        <v>226</v>
      </c>
      <c r="K116" t="b">
        <v>0</v>
      </c>
      <c r="L116" s="2" t="s">
        <v>130</v>
      </c>
    </row>
    <row r="117" spans="1:12" hidden="1" x14ac:dyDescent="0.3">
      <c r="A117" s="2" t="s">
        <v>8</v>
      </c>
      <c r="B117" s="2" t="s">
        <v>223</v>
      </c>
      <c r="C117">
        <v>28</v>
      </c>
      <c r="D117" s="2" t="s">
        <v>256</v>
      </c>
      <c r="E117" s="2" t="s">
        <v>63</v>
      </c>
      <c r="F117" s="2" t="s">
        <v>257</v>
      </c>
      <c r="G117" s="2" t="s">
        <v>36</v>
      </c>
      <c r="H117" s="2" t="s">
        <v>132</v>
      </c>
      <c r="I117" s="2" t="s">
        <v>133</v>
      </c>
      <c r="J117" s="2" t="s">
        <v>226</v>
      </c>
      <c r="K117" t="b">
        <v>1</v>
      </c>
      <c r="L117" s="2" t="s">
        <v>130</v>
      </c>
    </row>
    <row r="118" spans="1:12" hidden="1" x14ac:dyDescent="0.3">
      <c r="A118" s="2" t="s">
        <v>8</v>
      </c>
      <c r="B118" s="2" t="s">
        <v>223</v>
      </c>
      <c r="C118">
        <v>29</v>
      </c>
      <c r="D118" s="2" t="s">
        <v>258</v>
      </c>
      <c r="E118" s="2" t="s">
        <v>57</v>
      </c>
      <c r="F118" s="2" t="s">
        <v>57</v>
      </c>
      <c r="G118" s="2" t="s">
        <v>36</v>
      </c>
      <c r="H118" s="2" t="s">
        <v>132</v>
      </c>
      <c r="I118" s="2" t="s">
        <v>133</v>
      </c>
      <c r="J118" s="2" t="s">
        <v>226</v>
      </c>
      <c r="K118" t="b">
        <v>0</v>
      </c>
      <c r="L118" s="2" t="s">
        <v>130</v>
      </c>
    </row>
    <row r="119" spans="1:12" hidden="1" x14ac:dyDescent="0.3">
      <c r="A119" s="2" t="s">
        <v>8</v>
      </c>
      <c r="B119" s="2" t="s">
        <v>223</v>
      </c>
      <c r="C119">
        <v>30</v>
      </c>
      <c r="D119" s="2" t="s">
        <v>259</v>
      </c>
      <c r="E119" s="2" t="s">
        <v>64</v>
      </c>
      <c r="F119" s="2" t="s">
        <v>64</v>
      </c>
      <c r="G119" s="2" t="s">
        <v>36</v>
      </c>
      <c r="H119" s="2" t="s">
        <v>132</v>
      </c>
      <c r="I119" s="2" t="s">
        <v>133</v>
      </c>
      <c r="J119" s="2" t="s">
        <v>226</v>
      </c>
      <c r="K119" t="b">
        <v>0</v>
      </c>
      <c r="L119" s="2" t="s">
        <v>130</v>
      </c>
    </row>
    <row r="120" spans="1:12" hidden="1" x14ac:dyDescent="0.3">
      <c r="A120" s="2" t="s">
        <v>8</v>
      </c>
      <c r="B120" s="2" t="s">
        <v>223</v>
      </c>
      <c r="C120">
        <v>31</v>
      </c>
      <c r="D120" s="2" t="s">
        <v>260</v>
      </c>
      <c r="E120" s="2" t="s">
        <v>13</v>
      </c>
      <c r="F120" s="2" t="s">
        <v>13</v>
      </c>
      <c r="G120" s="2" t="s">
        <v>36</v>
      </c>
      <c r="H120" s="2" t="s">
        <v>132</v>
      </c>
      <c r="I120" s="2" t="s">
        <v>133</v>
      </c>
      <c r="J120" s="2" t="s">
        <v>226</v>
      </c>
      <c r="K120" t="b">
        <v>0</v>
      </c>
      <c r="L120" s="2" t="s">
        <v>130</v>
      </c>
    </row>
    <row r="121" spans="1:12" hidden="1" x14ac:dyDescent="0.3">
      <c r="A121" s="2" t="s">
        <v>8</v>
      </c>
      <c r="B121" s="2" t="s">
        <v>223</v>
      </c>
      <c r="C121">
        <v>32</v>
      </c>
      <c r="D121" s="2" t="s">
        <v>261</v>
      </c>
      <c r="E121" s="2" t="s">
        <v>13</v>
      </c>
      <c r="F121" s="2" t="s">
        <v>13</v>
      </c>
      <c r="G121" s="2" t="s">
        <v>36</v>
      </c>
      <c r="H121" s="2" t="s">
        <v>132</v>
      </c>
      <c r="I121" s="2" t="s">
        <v>133</v>
      </c>
      <c r="J121" s="2" t="s">
        <v>226</v>
      </c>
      <c r="K121" t="b">
        <v>0</v>
      </c>
      <c r="L121" s="2" t="s">
        <v>130</v>
      </c>
    </row>
    <row r="122" spans="1:12" hidden="1" x14ac:dyDescent="0.3">
      <c r="A122" s="2" t="s">
        <v>8</v>
      </c>
      <c r="B122" s="2" t="s">
        <v>223</v>
      </c>
      <c r="C122">
        <v>33</v>
      </c>
      <c r="D122" s="2" t="s">
        <v>262</v>
      </c>
      <c r="E122" s="2" t="s">
        <v>72</v>
      </c>
      <c r="F122" s="2" t="s">
        <v>72</v>
      </c>
      <c r="G122" s="2" t="s">
        <v>36</v>
      </c>
      <c r="H122" s="2" t="s">
        <v>132</v>
      </c>
      <c r="I122" s="2" t="s">
        <v>133</v>
      </c>
      <c r="J122" s="2" t="s">
        <v>226</v>
      </c>
      <c r="K122" t="b">
        <v>0</v>
      </c>
      <c r="L122" s="2" t="s">
        <v>130</v>
      </c>
    </row>
    <row r="123" spans="1:12" hidden="1" x14ac:dyDescent="0.3">
      <c r="A123" s="2" t="s">
        <v>8</v>
      </c>
      <c r="B123" s="2" t="s">
        <v>223</v>
      </c>
      <c r="C123">
        <v>34</v>
      </c>
      <c r="D123" s="2" t="s">
        <v>263</v>
      </c>
      <c r="E123" s="2" t="s">
        <v>16</v>
      </c>
      <c r="F123" s="2" t="s">
        <v>155</v>
      </c>
      <c r="G123" s="2" t="s">
        <v>36</v>
      </c>
      <c r="H123" s="2" t="s">
        <v>132</v>
      </c>
      <c r="I123" s="2" t="s">
        <v>133</v>
      </c>
      <c r="J123" s="2" t="s">
        <v>226</v>
      </c>
      <c r="K123" t="b">
        <v>1</v>
      </c>
      <c r="L123" s="2" t="s">
        <v>130</v>
      </c>
    </row>
    <row r="124" spans="1:12" hidden="1" x14ac:dyDescent="0.3">
      <c r="A124" s="2" t="s">
        <v>8</v>
      </c>
      <c r="B124" s="2" t="s">
        <v>223</v>
      </c>
      <c r="C124">
        <v>35</v>
      </c>
      <c r="D124" s="2" t="s">
        <v>264</v>
      </c>
      <c r="E124" s="2" t="s">
        <v>18</v>
      </c>
      <c r="F124" s="2" t="s">
        <v>18</v>
      </c>
      <c r="G124" s="2" t="s">
        <v>36</v>
      </c>
      <c r="H124" s="2" t="s">
        <v>132</v>
      </c>
      <c r="I124" s="2" t="s">
        <v>133</v>
      </c>
      <c r="J124" s="2" t="s">
        <v>226</v>
      </c>
      <c r="K124" t="b">
        <v>0</v>
      </c>
      <c r="L124" s="2" t="s">
        <v>130</v>
      </c>
    </row>
    <row r="125" spans="1:12" hidden="1" x14ac:dyDescent="0.3">
      <c r="A125" s="2" t="s">
        <v>8</v>
      </c>
      <c r="B125" s="2" t="s">
        <v>223</v>
      </c>
      <c r="C125">
        <v>36</v>
      </c>
      <c r="D125" s="2" t="s">
        <v>265</v>
      </c>
      <c r="E125" s="2" t="s">
        <v>77</v>
      </c>
      <c r="F125" s="2" t="s">
        <v>77</v>
      </c>
      <c r="G125" s="2" t="s">
        <v>36</v>
      </c>
      <c r="H125" s="2" t="s">
        <v>132</v>
      </c>
      <c r="I125" s="2" t="s">
        <v>133</v>
      </c>
      <c r="J125" s="2" t="s">
        <v>226</v>
      </c>
      <c r="K125" t="b">
        <v>0</v>
      </c>
      <c r="L125" s="2" t="s">
        <v>130</v>
      </c>
    </row>
    <row r="126" spans="1:12" hidden="1" x14ac:dyDescent="0.3">
      <c r="A126" s="2" t="s">
        <v>8</v>
      </c>
      <c r="B126" s="2" t="s">
        <v>223</v>
      </c>
      <c r="C126">
        <v>37</v>
      </c>
      <c r="D126" s="2" t="s">
        <v>266</v>
      </c>
      <c r="E126" s="2" t="s">
        <v>119</v>
      </c>
      <c r="F126" s="2" t="s">
        <v>119</v>
      </c>
      <c r="G126" s="2" t="s">
        <v>38</v>
      </c>
      <c r="H126" s="2" t="s">
        <v>158</v>
      </c>
      <c r="I126" s="2" t="s">
        <v>133</v>
      </c>
      <c r="J126" s="2" t="s">
        <v>226</v>
      </c>
      <c r="K126" t="b">
        <v>0</v>
      </c>
      <c r="L126" s="2" t="s">
        <v>130</v>
      </c>
    </row>
    <row r="127" spans="1:12" hidden="1" x14ac:dyDescent="0.3">
      <c r="A127" s="2" t="s">
        <v>8</v>
      </c>
      <c r="B127" s="2" t="s">
        <v>223</v>
      </c>
      <c r="C127">
        <v>38</v>
      </c>
      <c r="D127" s="2" t="s">
        <v>267</v>
      </c>
      <c r="E127" s="2" t="s">
        <v>49</v>
      </c>
      <c r="F127" s="2" t="s">
        <v>49</v>
      </c>
      <c r="G127" s="2" t="s">
        <v>38</v>
      </c>
      <c r="H127" s="2" t="s">
        <v>158</v>
      </c>
      <c r="I127" s="2" t="s">
        <v>133</v>
      </c>
      <c r="J127" s="2" t="s">
        <v>226</v>
      </c>
      <c r="K127" t="b">
        <v>0</v>
      </c>
      <c r="L127" s="2" t="s">
        <v>130</v>
      </c>
    </row>
    <row r="128" spans="1:12" hidden="1" x14ac:dyDescent="0.3">
      <c r="A128" s="2" t="s">
        <v>8</v>
      </c>
      <c r="B128" s="2" t="s">
        <v>223</v>
      </c>
      <c r="C128">
        <v>39</v>
      </c>
      <c r="D128" s="2" t="s">
        <v>268</v>
      </c>
      <c r="E128" s="2" t="s">
        <v>37</v>
      </c>
      <c r="F128" s="2" t="s">
        <v>37</v>
      </c>
      <c r="G128" s="2" t="s">
        <v>38</v>
      </c>
      <c r="H128" s="2" t="s">
        <v>158</v>
      </c>
      <c r="I128" s="2" t="s">
        <v>133</v>
      </c>
      <c r="J128" s="2" t="s">
        <v>226</v>
      </c>
      <c r="K128" t="b">
        <v>0</v>
      </c>
      <c r="L128" s="2" t="s">
        <v>130</v>
      </c>
    </row>
    <row r="129" spans="1:12" hidden="1" x14ac:dyDescent="0.3">
      <c r="A129" s="2" t="s">
        <v>8</v>
      </c>
      <c r="B129" s="2" t="s">
        <v>223</v>
      </c>
      <c r="C129">
        <v>40</v>
      </c>
      <c r="D129" s="2" t="s">
        <v>269</v>
      </c>
      <c r="E129" s="2" t="s">
        <v>40</v>
      </c>
      <c r="F129" s="2" t="s">
        <v>40</v>
      </c>
      <c r="G129" s="2" t="s">
        <v>38</v>
      </c>
      <c r="H129" s="2" t="s">
        <v>158</v>
      </c>
      <c r="I129" s="2" t="s">
        <v>133</v>
      </c>
      <c r="J129" s="2" t="s">
        <v>226</v>
      </c>
      <c r="K129" t="b">
        <v>0</v>
      </c>
      <c r="L129" s="2" t="s">
        <v>130</v>
      </c>
    </row>
    <row r="130" spans="1:12" hidden="1" x14ac:dyDescent="0.3">
      <c r="A130" s="2" t="s">
        <v>8</v>
      </c>
      <c r="B130" s="2" t="s">
        <v>223</v>
      </c>
      <c r="C130">
        <v>41</v>
      </c>
      <c r="D130" s="2" t="s">
        <v>270</v>
      </c>
      <c r="E130" s="2" t="s">
        <v>41</v>
      </c>
      <c r="F130" s="2" t="s">
        <v>41</v>
      </c>
      <c r="G130" s="2" t="s">
        <v>38</v>
      </c>
      <c r="H130" s="2" t="s">
        <v>158</v>
      </c>
      <c r="I130" s="2" t="s">
        <v>133</v>
      </c>
      <c r="J130" s="2" t="s">
        <v>226</v>
      </c>
      <c r="K130" t="b">
        <v>0</v>
      </c>
      <c r="L130" s="2" t="s">
        <v>130</v>
      </c>
    </row>
    <row r="131" spans="1:12" hidden="1" x14ac:dyDescent="0.3">
      <c r="A131" s="2" t="s">
        <v>8</v>
      </c>
      <c r="B131" s="2" t="s">
        <v>223</v>
      </c>
      <c r="C131">
        <v>42</v>
      </c>
      <c r="D131" s="2" t="s">
        <v>271</v>
      </c>
      <c r="E131" s="2" t="s">
        <v>120</v>
      </c>
      <c r="F131" s="2" t="s">
        <v>120</v>
      </c>
      <c r="G131" s="2" t="s">
        <v>38</v>
      </c>
      <c r="H131" s="2" t="s">
        <v>158</v>
      </c>
      <c r="I131" s="2" t="s">
        <v>133</v>
      </c>
      <c r="J131" s="2" t="s">
        <v>226</v>
      </c>
      <c r="K131" t="b">
        <v>0</v>
      </c>
      <c r="L131" s="2" t="s">
        <v>130</v>
      </c>
    </row>
    <row r="132" spans="1:12" hidden="1" x14ac:dyDescent="0.3">
      <c r="A132" s="2" t="s">
        <v>8</v>
      </c>
      <c r="B132" s="2" t="s">
        <v>223</v>
      </c>
      <c r="C132">
        <v>43</v>
      </c>
      <c r="D132" s="2" t="s">
        <v>272</v>
      </c>
      <c r="E132" s="2" t="s">
        <v>39</v>
      </c>
      <c r="F132" s="2" t="s">
        <v>39</v>
      </c>
      <c r="G132" s="2" t="s">
        <v>38</v>
      </c>
      <c r="H132" s="2" t="s">
        <v>158</v>
      </c>
      <c r="I132" s="2" t="s">
        <v>133</v>
      </c>
      <c r="J132" s="2" t="s">
        <v>226</v>
      </c>
      <c r="K132" t="b">
        <v>0</v>
      </c>
      <c r="L132" s="2" t="s">
        <v>130</v>
      </c>
    </row>
    <row r="133" spans="1:12" hidden="1" x14ac:dyDescent="0.3">
      <c r="A133" s="2" t="s">
        <v>8</v>
      </c>
      <c r="B133" s="2" t="s">
        <v>223</v>
      </c>
      <c r="C133">
        <v>44</v>
      </c>
      <c r="D133" s="2" t="s">
        <v>273</v>
      </c>
      <c r="E133" s="2" t="s">
        <v>123</v>
      </c>
      <c r="F133" s="2" t="s">
        <v>123</v>
      </c>
      <c r="G133" s="2" t="s">
        <v>118</v>
      </c>
      <c r="H133" s="2" t="s">
        <v>274</v>
      </c>
      <c r="I133" s="2" t="s">
        <v>133</v>
      </c>
      <c r="J133" s="2" t="s">
        <v>226</v>
      </c>
      <c r="K133" t="b">
        <v>0</v>
      </c>
      <c r="L133" s="2" t="s">
        <v>130</v>
      </c>
    </row>
    <row r="134" spans="1:12" hidden="1" x14ac:dyDescent="0.3">
      <c r="A134" s="2" t="s">
        <v>8</v>
      </c>
      <c r="B134" s="2" t="s">
        <v>223</v>
      </c>
      <c r="C134">
        <v>45</v>
      </c>
      <c r="D134" s="2" t="s">
        <v>275</v>
      </c>
      <c r="E134" s="2" t="s">
        <v>115</v>
      </c>
      <c r="F134" s="2" t="s">
        <v>115</v>
      </c>
      <c r="G134" s="2" t="s">
        <v>118</v>
      </c>
      <c r="H134" s="2" t="s">
        <v>274</v>
      </c>
      <c r="I134" s="2" t="s">
        <v>133</v>
      </c>
      <c r="J134" s="2" t="s">
        <v>226</v>
      </c>
      <c r="K134" t="b">
        <v>0</v>
      </c>
      <c r="L134" s="2" t="s">
        <v>130</v>
      </c>
    </row>
    <row r="135" spans="1:12" hidden="1" x14ac:dyDescent="0.3">
      <c r="A135" s="2" t="s">
        <v>8</v>
      </c>
      <c r="B135" s="2" t="s">
        <v>223</v>
      </c>
      <c r="C135">
        <v>46</v>
      </c>
      <c r="D135" s="2" t="s">
        <v>276</v>
      </c>
      <c r="E135" s="2" t="s">
        <v>116</v>
      </c>
      <c r="F135" s="2" t="s">
        <v>116</v>
      </c>
      <c r="G135" s="2" t="s">
        <v>118</v>
      </c>
      <c r="H135" s="2" t="s">
        <v>274</v>
      </c>
      <c r="I135" s="2" t="s">
        <v>133</v>
      </c>
      <c r="J135" s="2" t="s">
        <v>226</v>
      </c>
      <c r="K135" t="b">
        <v>0</v>
      </c>
      <c r="L135" s="2" t="s">
        <v>130</v>
      </c>
    </row>
    <row r="136" spans="1:12" hidden="1" x14ac:dyDescent="0.3">
      <c r="A136" s="2" t="s">
        <v>8</v>
      </c>
      <c r="B136" s="2" t="s">
        <v>223</v>
      </c>
      <c r="C136">
        <v>47</v>
      </c>
      <c r="D136" s="2" t="s">
        <v>277</v>
      </c>
      <c r="E136" s="2" t="s">
        <v>117</v>
      </c>
      <c r="F136" s="2" t="s">
        <v>117</v>
      </c>
      <c r="G136" s="2" t="s">
        <v>118</v>
      </c>
      <c r="H136" s="2" t="s">
        <v>274</v>
      </c>
      <c r="I136" s="2" t="s">
        <v>133</v>
      </c>
      <c r="J136" s="2" t="s">
        <v>226</v>
      </c>
      <c r="K136" t="b">
        <v>0</v>
      </c>
      <c r="L136" s="2" t="s">
        <v>130</v>
      </c>
    </row>
    <row r="137" spans="1:12" hidden="1" x14ac:dyDescent="0.3">
      <c r="A137" s="2" t="s">
        <v>8</v>
      </c>
      <c r="B137" s="2" t="s">
        <v>223</v>
      </c>
      <c r="C137">
        <v>48</v>
      </c>
      <c r="D137" s="2" t="s">
        <v>278</v>
      </c>
      <c r="E137" s="2" t="s">
        <v>81</v>
      </c>
      <c r="F137" s="2" t="s">
        <v>81</v>
      </c>
      <c r="G137" s="2" t="s">
        <v>85</v>
      </c>
      <c r="H137" s="2" t="s">
        <v>279</v>
      </c>
      <c r="I137" s="2" t="s">
        <v>133</v>
      </c>
      <c r="J137" s="2" t="s">
        <v>226</v>
      </c>
      <c r="K137" t="b">
        <v>0</v>
      </c>
      <c r="L137" s="2" t="s">
        <v>130</v>
      </c>
    </row>
    <row r="138" spans="1:12" hidden="1" x14ac:dyDescent="0.3">
      <c r="A138" s="2" t="s">
        <v>8</v>
      </c>
      <c r="B138" s="2" t="s">
        <v>223</v>
      </c>
      <c r="C138">
        <v>49</v>
      </c>
      <c r="D138" s="2" t="s">
        <v>280</v>
      </c>
      <c r="E138" s="2" t="s">
        <v>68</v>
      </c>
      <c r="F138" s="2" t="s">
        <v>68</v>
      </c>
      <c r="G138" s="2" t="s">
        <v>85</v>
      </c>
      <c r="H138" s="2" t="s">
        <v>279</v>
      </c>
      <c r="I138" s="2" t="s">
        <v>133</v>
      </c>
      <c r="J138" s="2" t="s">
        <v>226</v>
      </c>
      <c r="K138" t="b">
        <v>0</v>
      </c>
      <c r="L138" s="2" t="s">
        <v>130</v>
      </c>
    </row>
    <row r="139" spans="1:12" hidden="1" x14ac:dyDescent="0.3">
      <c r="A139" s="2" t="s">
        <v>8</v>
      </c>
      <c r="B139" s="2" t="s">
        <v>223</v>
      </c>
      <c r="C139">
        <v>50</v>
      </c>
      <c r="D139" s="2" t="s">
        <v>281</v>
      </c>
      <c r="E139" s="2" t="s">
        <v>82</v>
      </c>
      <c r="F139" s="2" t="s">
        <v>82</v>
      </c>
      <c r="G139" s="2" t="s">
        <v>85</v>
      </c>
      <c r="H139" s="2" t="s">
        <v>279</v>
      </c>
      <c r="I139" s="2" t="s">
        <v>133</v>
      </c>
      <c r="J139" s="2" t="s">
        <v>226</v>
      </c>
      <c r="K139" t="b">
        <v>0</v>
      </c>
      <c r="L139" s="2" t="s">
        <v>130</v>
      </c>
    </row>
    <row r="140" spans="1:12" hidden="1" x14ac:dyDescent="0.3">
      <c r="A140" s="2" t="s">
        <v>8</v>
      </c>
      <c r="B140" s="2" t="s">
        <v>223</v>
      </c>
      <c r="C140">
        <v>51</v>
      </c>
      <c r="D140" s="2" t="s">
        <v>282</v>
      </c>
      <c r="E140" s="2" t="s">
        <v>67</v>
      </c>
      <c r="F140" s="2" t="s">
        <v>67</v>
      </c>
      <c r="G140" s="2" t="s">
        <v>85</v>
      </c>
      <c r="H140" s="2" t="s">
        <v>279</v>
      </c>
      <c r="I140" s="2" t="s">
        <v>133</v>
      </c>
      <c r="J140" s="2" t="s">
        <v>226</v>
      </c>
      <c r="K140" t="b">
        <v>0</v>
      </c>
      <c r="L140" s="2" t="s">
        <v>130</v>
      </c>
    </row>
    <row r="141" spans="1:12" hidden="1" x14ac:dyDescent="0.3">
      <c r="A141" s="2" t="s">
        <v>8</v>
      </c>
      <c r="B141" s="2" t="s">
        <v>223</v>
      </c>
      <c r="C141">
        <v>52</v>
      </c>
      <c r="D141" s="2" t="s">
        <v>283</v>
      </c>
      <c r="E141" s="2" t="s">
        <v>83</v>
      </c>
      <c r="F141" s="2" t="s">
        <v>83</v>
      </c>
      <c r="G141" s="2" t="s">
        <v>85</v>
      </c>
      <c r="H141" s="2" t="s">
        <v>279</v>
      </c>
      <c r="I141" s="2" t="s">
        <v>133</v>
      </c>
      <c r="J141" s="2" t="s">
        <v>226</v>
      </c>
      <c r="K141" t="b">
        <v>0</v>
      </c>
      <c r="L141" s="2" t="s">
        <v>130</v>
      </c>
    </row>
    <row r="142" spans="1:12" hidden="1" x14ac:dyDescent="0.3">
      <c r="A142" s="2" t="s">
        <v>8</v>
      </c>
      <c r="B142" s="2" t="s">
        <v>223</v>
      </c>
      <c r="C142">
        <v>53</v>
      </c>
      <c r="D142" s="2" t="s">
        <v>284</v>
      </c>
      <c r="E142" s="2" t="s">
        <v>64</v>
      </c>
      <c r="F142" s="2" t="s">
        <v>64</v>
      </c>
      <c r="G142" s="2" t="s">
        <v>85</v>
      </c>
      <c r="H142" s="2" t="s">
        <v>279</v>
      </c>
      <c r="I142" s="2" t="s">
        <v>133</v>
      </c>
      <c r="J142" s="2" t="s">
        <v>226</v>
      </c>
      <c r="K142" t="b">
        <v>0</v>
      </c>
      <c r="L142" s="2" t="s">
        <v>130</v>
      </c>
    </row>
    <row r="143" spans="1:12" hidden="1" x14ac:dyDescent="0.3">
      <c r="A143" s="2" t="s">
        <v>8</v>
      </c>
      <c r="B143" s="2" t="s">
        <v>223</v>
      </c>
      <c r="C143">
        <v>54</v>
      </c>
      <c r="D143" s="2" t="s">
        <v>285</v>
      </c>
      <c r="E143" s="2" t="s">
        <v>54</v>
      </c>
      <c r="F143" s="2" t="s">
        <v>54</v>
      </c>
      <c r="G143" s="2" t="s">
        <v>85</v>
      </c>
      <c r="H143" s="2" t="s">
        <v>279</v>
      </c>
      <c r="I143" s="2" t="s">
        <v>133</v>
      </c>
      <c r="J143" s="2" t="s">
        <v>226</v>
      </c>
      <c r="K143" t="b">
        <v>0</v>
      </c>
      <c r="L143" s="2" t="s">
        <v>130</v>
      </c>
    </row>
    <row r="144" spans="1:12" hidden="1" x14ac:dyDescent="0.3">
      <c r="A144" s="2" t="s">
        <v>8</v>
      </c>
      <c r="B144" s="2" t="s">
        <v>223</v>
      </c>
      <c r="C144">
        <v>55</v>
      </c>
      <c r="D144" s="2" t="s">
        <v>286</v>
      </c>
      <c r="E144" s="2" t="s">
        <v>84</v>
      </c>
      <c r="F144" s="2" t="s">
        <v>84</v>
      </c>
      <c r="G144" s="2" t="s">
        <v>85</v>
      </c>
      <c r="H144" s="2" t="s">
        <v>279</v>
      </c>
      <c r="I144" s="2" t="s">
        <v>133</v>
      </c>
      <c r="J144" s="2" t="s">
        <v>226</v>
      </c>
      <c r="K144" t="b">
        <v>0</v>
      </c>
      <c r="L144" s="2" t="s">
        <v>130</v>
      </c>
    </row>
    <row r="145" spans="1:12" hidden="1" x14ac:dyDescent="0.3">
      <c r="A145" s="2" t="s">
        <v>8</v>
      </c>
      <c r="B145" s="2" t="s">
        <v>223</v>
      </c>
      <c r="C145">
        <v>56</v>
      </c>
      <c r="D145" s="2" t="s">
        <v>287</v>
      </c>
      <c r="E145" s="2" t="s">
        <v>69</v>
      </c>
      <c r="F145" s="2" t="s">
        <v>69</v>
      </c>
      <c r="G145" s="2" t="s">
        <v>85</v>
      </c>
      <c r="H145" s="2" t="s">
        <v>279</v>
      </c>
      <c r="I145" s="2" t="s">
        <v>133</v>
      </c>
      <c r="J145" s="2" t="s">
        <v>226</v>
      </c>
      <c r="K145" t="b">
        <v>0</v>
      </c>
      <c r="L145" s="2" t="s">
        <v>130</v>
      </c>
    </row>
    <row r="146" spans="1:12" hidden="1" x14ac:dyDescent="0.3">
      <c r="A146" s="2" t="s">
        <v>8</v>
      </c>
      <c r="B146" s="2" t="s">
        <v>223</v>
      </c>
      <c r="C146">
        <v>57</v>
      </c>
      <c r="D146" s="2" t="s">
        <v>288</v>
      </c>
      <c r="E146" s="2" t="s">
        <v>94</v>
      </c>
      <c r="F146" s="2" t="s">
        <v>94</v>
      </c>
      <c r="G146" s="2" t="s">
        <v>108</v>
      </c>
      <c r="H146" s="2" t="s">
        <v>289</v>
      </c>
      <c r="I146" s="2" t="s">
        <v>133</v>
      </c>
      <c r="J146" s="2" t="s">
        <v>226</v>
      </c>
      <c r="K146" t="b">
        <v>0</v>
      </c>
      <c r="L146" s="2" t="s">
        <v>130</v>
      </c>
    </row>
    <row r="147" spans="1:12" hidden="1" x14ac:dyDescent="0.3">
      <c r="A147" s="2" t="s">
        <v>8</v>
      </c>
      <c r="B147" s="2" t="s">
        <v>223</v>
      </c>
      <c r="C147">
        <v>58</v>
      </c>
      <c r="D147" s="2" t="s">
        <v>290</v>
      </c>
      <c r="E147" s="2" t="s">
        <v>95</v>
      </c>
      <c r="F147" s="2" t="s">
        <v>95</v>
      </c>
      <c r="G147" s="2" t="s">
        <v>108</v>
      </c>
      <c r="H147" s="2" t="s">
        <v>289</v>
      </c>
      <c r="I147" s="2" t="s">
        <v>133</v>
      </c>
      <c r="J147" s="2" t="s">
        <v>226</v>
      </c>
      <c r="K147" t="b">
        <v>0</v>
      </c>
      <c r="L147" s="2" t="s">
        <v>130</v>
      </c>
    </row>
    <row r="148" spans="1:12" hidden="1" x14ac:dyDescent="0.3">
      <c r="A148" s="2" t="s">
        <v>8</v>
      </c>
      <c r="B148" s="2" t="s">
        <v>223</v>
      </c>
      <c r="C148">
        <v>59</v>
      </c>
      <c r="D148" s="2" t="s">
        <v>291</v>
      </c>
      <c r="E148" s="2" t="s">
        <v>96</v>
      </c>
      <c r="F148" s="2" t="s">
        <v>96</v>
      </c>
      <c r="G148" s="2" t="s">
        <v>108</v>
      </c>
      <c r="H148" s="2" t="s">
        <v>289</v>
      </c>
      <c r="I148" s="2" t="s">
        <v>133</v>
      </c>
      <c r="J148" s="2" t="s">
        <v>226</v>
      </c>
      <c r="K148" t="b">
        <v>0</v>
      </c>
      <c r="L148" s="2" t="s">
        <v>130</v>
      </c>
    </row>
    <row r="149" spans="1:12" hidden="1" x14ac:dyDescent="0.3">
      <c r="A149" s="2" t="s">
        <v>8</v>
      </c>
      <c r="B149" s="2" t="s">
        <v>223</v>
      </c>
      <c r="C149">
        <v>60</v>
      </c>
      <c r="D149" s="2" t="s">
        <v>292</v>
      </c>
      <c r="E149" s="2" t="s">
        <v>86</v>
      </c>
      <c r="F149" s="2" t="s">
        <v>86</v>
      </c>
      <c r="G149" s="2" t="s">
        <v>108</v>
      </c>
      <c r="H149" s="2" t="s">
        <v>289</v>
      </c>
      <c r="I149" s="2" t="s">
        <v>133</v>
      </c>
      <c r="J149" s="2" t="s">
        <v>226</v>
      </c>
      <c r="K149" t="b">
        <v>0</v>
      </c>
      <c r="L149" s="2" t="s">
        <v>130</v>
      </c>
    </row>
    <row r="150" spans="1:12" hidden="1" x14ac:dyDescent="0.3">
      <c r="A150" s="2" t="s">
        <v>8</v>
      </c>
      <c r="B150" s="2" t="s">
        <v>223</v>
      </c>
      <c r="C150">
        <v>61</v>
      </c>
      <c r="D150" s="2" t="s">
        <v>293</v>
      </c>
      <c r="E150" s="2" t="s">
        <v>87</v>
      </c>
      <c r="F150" s="2" t="s">
        <v>87</v>
      </c>
      <c r="G150" s="2" t="s">
        <v>108</v>
      </c>
      <c r="H150" s="2" t="s">
        <v>289</v>
      </c>
      <c r="I150" s="2" t="s">
        <v>133</v>
      </c>
      <c r="J150" s="2" t="s">
        <v>226</v>
      </c>
      <c r="K150" t="b">
        <v>0</v>
      </c>
      <c r="L150" s="2" t="s">
        <v>130</v>
      </c>
    </row>
    <row r="151" spans="1:12" hidden="1" x14ac:dyDescent="0.3">
      <c r="A151" s="2" t="s">
        <v>8</v>
      </c>
      <c r="B151" s="2" t="s">
        <v>223</v>
      </c>
      <c r="C151">
        <v>62</v>
      </c>
      <c r="D151" s="2" t="s">
        <v>294</v>
      </c>
      <c r="E151" s="2" t="s">
        <v>97</v>
      </c>
      <c r="F151" s="2" t="s">
        <v>97</v>
      </c>
      <c r="G151" s="2" t="s">
        <v>108</v>
      </c>
      <c r="H151" s="2" t="s">
        <v>289</v>
      </c>
      <c r="I151" s="2" t="s">
        <v>133</v>
      </c>
      <c r="J151" s="2" t="s">
        <v>226</v>
      </c>
      <c r="K151" t="b">
        <v>0</v>
      </c>
      <c r="L151" s="2" t="s">
        <v>130</v>
      </c>
    </row>
    <row r="152" spans="1:12" hidden="1" x14ac:dyDescent="0.3">
      <c r="A152" s="2" t="s">
        <v>8</v>
      </c>
      <c r="B152" s="2" t="s">
        <v>223</v>
      </c>
      <c r="C152">
        <v>63</v>
      </c>
      <c r="D152" s="2" t="s">
        <v>295</v>
      </c>
      <c r="E152" s="2" t="s">
        <v>98</v>
      </c>
      <c r="F152" s="2" t="s">
        <v>98</v>
      </c>
      <c r="G152" s="2" t="s">
        <v>108</v>
      </c>
      <c r="H152" s="2" t="s">
        <v>289</v>
      </c>
      <c r="I152" s="2" t="s">
        <v>133</v>
      </c>
      <c r="J152" s="2" t="s">
        <v>226</v>
      </c>
      <c r="K152" t="b">
        <v>0</v>
      </c>
      <c r="L152" s="2" t="s">
        <v>130</v>
      </c>
    </row>
    <row r="153" spans="1:12" hidden="1" x14ac:dyDescent="0.3">
      <c r="A153" s="2" t="s">
        <v>8</v>
      </c>
      <c r="B153" s="2" t="s">
        <v>223</v>
      </c>
      <c r="C153">
        <v>64</v>
      </c>
      <c r="D153" s="2" t="s">
        <v>296</v>
      </c>
      <c r="E153" s="2" t="s">
        <v>88</v>
      </c>
      <c r="F153" s="2" t="s">
        <v>88</v>
      </c>
      <c r="G153" s="2" t="s">
        <v>108</v>
      </c>
      <c r="H153" s="2" t="s">
        <v>289</v>
      </c>
      <c r="I153" s="2" t="s">
        <v>133</v>
      </c>
      <c r="J153" s="2" t="s">
        <v>226</v>
      </c>
      <c r="K153" t="b">
        <v>0</v>
      </c>
      <c r="L153" s="2" t="s">
        <v>130</v>
      </c>
    </row>
    <row r="154" spans="1:12" hidden="1" x14ac:dyDescent="0.3">
      <c r="A154" s="2" t="s">
        <v>8</v>
      </c>
      <c r="B154" s="2" t="s">
        <v>223</v>
      </c>
      <c r="C154">
        <v>65</v>
      </c>
      <c r="D154" s="2" t="s">
        <v>297</v>
      </c>
      <c r="E154" s="2" t="s">
        <v>89</v>
      </c>
      <c r="F154" s="2" t="s">
        <v>89</v>
      </c>
      <c r="G154" s="2" t="s">
        <v>108</v>
      </c>
      <c r="H154" s="2" t="s">
        <v>289</v>
      </c>
      <c r="I154" s="2" t="s">
        <v>133</v>
      </c>
      <c r="J154" s="2" t="s">
        <v>226</v>
      </c>
      <c r="K154" t="b">
        <v>0</v>
      </c>
      <c r="L154" s="2" t="s">
        <v>130</v>
      </c>
    </row>
    <row r="155" spans="1:12" hidden="1" x14ac:dyDescent="0.3">
      <c r="A155" s="2" t="s">
        <v>8</v>
      </c>
      <c r="B155" s="2" t="s">
        <v>223</v>
      </c>
      <c r="C155">
        <v>66</v>
      </c>
      <c r="D155" s="2" t="s">
        <v>298</v>
      </c>
      <c r="E155" s="2" t="s">
        <v>89</v>
      </c>
      <c r="F155" s="2" t="s">
        <v>89</v>
      </c>
      <c r="G155" s="2" t="s">
        <v>108</v>
      </c>
      <c r="H155" s="2" t="s">
        <v>289</v>
      </c>
      <c r="I155" s="2" t="s">
        <v>133</v>
      </c>
      <c r="J155" s="2" t="s">
        <v>226</v>
      </c>
      <c r="K155" t="b">
        <v>0</v>
      </c>
      <c r="L155" s="2" t="s">
        <v>130</v>
      </c>
    </row>
    <row r="156" spans="1:12" hidden="1" x14ac:dyDescent="0.3">
      <c r="A156" s="2" t="s">
        <v>8</v>
      </c>
      <c r="B156" s="2" t="s">
        <v>223</v>
      </c>
      <c r="C156">
        <v>67</v>
      </c>
      <c r="D156" s="2" t="s">
        <v>299</v>
      </c>
      <c r="E156" s="2" t="s">
        <v>100</v>
      </c>
      <c r="F156" s="2" t="s">
        <v>100</v>
      </c>
      <c r="G156" s="2" t="s">
        <v>108</v>
      </c>
      <c r="H156" s="2" t="s">
        <v>289</v>
      </c>
      <c r="I156" s="2" t="s">
        <v>133</v>
      </c>
      <c r="J156" s="2" t="s">
        <v>226</v>
      </c>
      <c r="K156" t="b">
        <v>0</v>
      </c>
      <c r="L156" s="2" t="s">
        <v>130</v>
      </c>
    </row>
    <row r="157" spans="1:12" hidden="1" x14ac:dyDescent="0.3">
      <c r="A157" s="2" t="s">
        <v>8</v>
      </c>
      <c r="B157" s="2" t="s">
        <v>223</v>
      </c>
      <c r="C157">
        <v>68</v>
      </c>
      <c r="D157" s="2" t="s">
        <v>300</v>
      </c>
      <c r="E157" s="2" t="s">
        <v>99</v>
      </c>
      <c r="F157" s="2" t="s">
        <v>99</v>
      </c>
      <c r="G157" s="2" t="s">
        <v>108</v>
      </c>
      <c r="H157" s="2" t="s">
        <v>289</v>
      </c>
      <c r="I157" s="2" t="s">
        <v>133</v>
      </c>
      <c r="J157" s="2" t="s">
        <v>226</v>
      </c>
      <c r="K157" t="b">
        <v>0</v>
      </c>
      <c r="L157" s="2" t="s">
        <v>130</v>
      </c>
    </row>
    <row r="158" spans="1:12" hidden="1" x14ac:dyDescent="0.3">
      <c r="A158" s="2" t="s">
        <v>8</v>
      </c>
      <c r="B158" s="2" t="s">
        <v>223</v>
      </c>
      <c r="C158">
        <v>69</v>
      </c>
      <c r="D158" s="2" t="s">
        <v>301</v>
      </c>
      <c r="E158" s="2" t="s">
        <v>90</v>
      </c>
      <c r="F158" s="2" t="s">
        <v>90</v>
      </c>
      <c r="G158" s="2" t="s">
        <v>108</v>
      </c>
      <c r="H158" s="2" t="s">
        <v>289</v>
      </c>
      <c r="I158" s="2" t="s">
        <v>133</v>
      </c>
      <c r="J158" s="2" t="s">
        <v>226</v>
      </c>
      <c r="K158" t="b">
        <v>0</v>
      </c>
      <c r="L158" s="2" t="s">
        <v>130</v>
      </c>
    </row>
    <row r="159" spans="1:12" hidden="1" x14ac:dyDescent="0.3">
      <c r="A159" s="2" t="s">
        <v>8</v>
      </c>
      <c r="B159" s="2" t="s">
        <v>223</v>
      </c>
      <c r="C159">
        <v>70</v>
      </c>
      <c r="D159" s="2" t="s">
        <v>302</v>
      </c>
      <c r="E159" s="2" t="s">
        <v>101</v>
      </c>
      <c r="F159" s="2" t="s">
        <v>101</v>
      </c>
      <c r="G159" s="2" t="s">
        <v>108</v>
      </c>
      <c r="H159" s="2" t="s">
        <v>289</v>
      </c>
      <c r="I159" s="2" t="s">
        <v>133</v>
      </c>
      <c r="J159" s="2" t="s">
        <v>226</v>
      </c>
      <c r="K159" t="b">
        <v>0</v>
      </c>
      <c r="L159" s="2" t="s">
        <v>130</v>
      </c>
    </row>
    <row r="160" spans="1:12" hidden="1" x14ac:dyDescent="0.3">
      <c r="A160" s="2" t="s">
        <v>8</v>
      </c>
      <c r="B160" s="2" t="s">
        <v>223</v>
      </c>
      <c r="C160">
        <v>71</v>
      </c>
      <c r="D160" s="2" t="s">
        <v>303</v>
      </c>
      <c r="E160" s="2" t="s">
        <v>102</v>
      </c>
      <c r="F160" s="2" t="s">
        <v>102</v>
      </c>
      <c r="G160" s="2" t="s">
        <v>108</v>
      </c>
      <c r="H160" s="2" t="s">
        <v>289</v>
      </c>
      <c r="I160" s="2" t="s">
        <v>133</v>
      </c>
      <c r="J160" s="2" t="s">
        <v>226</v>
      </c>
      <c r="K160" t="b">
        <v>0</v>
      </c>
      <c r="L160" s="2" t="s">
        <v>130</v>
      </c>
    </row>
    <row r="161" spans="1:12" hidden="1" x14ac:dyDescent="0.3">
      <c r="A161" s="2" t="s">
        <v>8</v>
      </c>
      <c r="B161" s="2" t="s">
        <v>223</v>
      </c>
      <c r="C161">
        <v>72</v>
      </c>
      <c r="D161" s="2" t="s">
        <v>304</v>
      </c>
      <c r="E161" s="2" t="s">
        <v>103</v>
      </c>
      <c r="F161" s="2" t="s">
        <v>103</v>
      </c>
      <c r="G161" s="2" t="s">
        <v>108</v>
      </c>
      <c r="H161" s="2" t="s">
        <v>289</v>
      </c>
      <c r="I161" s="2" t="s">
        <v>133</v>
      </c>
      <c r="J161" s="2" t="s">
        <v>226</v>
      </c>
      <c r="K161" t="b">
        <v>0</v>
      </c>
      <c r="L161" s="2" t="s">
        <v>130</v>
      </c>
    </row>
    <row r="162" spans="1:12" hidden="1" x14ac:dyDescent="0.3">
      <c r="A162" s="2" t="s">
        <v>8</v>
      </c>
      <c r="B162" s="2" t="s">
        <v>223</v>
      </c>
      <c r="C162">
        <v>73</v>
      </c>
      <c r="D162" s="2" t="s">
        <v>305</v>
      </c>
      <c r="E162" s="2" t="s">
        <v>104</v>
      </c>
      <c r="F162" s="2" t="s">
        <v>104</v>
      </c>
      <c r="G162" s="2" t="s">
        <v>108</v>
      </c>
      <c r="H162" s="2" t="s">
        <v>289</v>
      </c>
      <c r="I162" s="2" t="s">
        <v>133</v>
      </c>
      <c r="J162" s="2" t="s">
        <v>226</v>
      </c>
      <c r="K162" t="b">
        <v>0</v>
      </c>
      <c r="L162" s="2" t="s">
        <v>130</v>
      </c>
    </row>
    <row r="163" spans="1:12" hidden="1" x14ac:dyDescent="0.3">
      <c r="A163" s="2" t="s">
        <v>8</v>
      </c>
      <c r="B163" s="2" t="s">
        <v>223</v>
      </c>
      <c r="C163">
        <v>74</v>
      </c>
      <c r="D163" s="2" t="s">
        <v>306</v>
      </c>
      <c r="E163" s="2" t="s">
        <v>105</v>
      </c>
      <c r="F163" s="2" t="s">
        <v>105</v>
      </c>
      <c r="G163" s="2" t="s">
        <v>108</v>
      </c>
      <c r="H163" s="2" t="s">
        <v>289</v>
      </c>
      <c r="I163" s="2" t="s">
        <v>133</v>
      </c>
      <c r="J163" s="2" t="s">
        <v>226</v>
      </c>
      <c r="K163" t="b">
        <v>0</v>
      </c>
      <c r="L163" s="2" t="s">
        <v>130</v>
      </c>
    </row>
    <row r="164" spans="1:12" hidden="1" x14ac:dyDescent="0.3">
      <c r="A164" s="2" t="s">
        <v>8</v>
      </c>
      <c r="B164" s="2" t="s">
        <v>223</v>
      </c>
      <c r="C164">
        <v>75</v>
      </c>
      <c r="D164" s="2" t="s">
        <v>307</v>
      </c>
      <c r="E164" s="2" t="s">
        <v>91</v>
      </c>
      <c r="F164" s="2" t="s">
        <v>91</v>
      </c>
      <c r="G164" s="2" t="s">
        <v>108</v>
      </c>
      <c r="H164" s="2" t="s">
        <v>289</v>
      </c>
      <c r="I164" s="2" t="s">
        <v>133</v>
      </c>
      <c r="J164" s="2" t="s">
        <v>226</v>
      </c>
      <c r="K164" t="b">
        <v>0</v>
      </c>
      <c r="L164" s="2" t="s">
        <v>130</v>
      </c>
    </row>
    <row r="165" spans="1:12" hidden="1" x14ac:dyDescent="0.3">
      <c r="A165" s="2" t="s">
        <v>8</v>
      </c>
      <c r="B165" s="2" t="s">
        <v>223</v>
      </c>
      <c r="C165">
        <v>76</v>
      </c>
      <c r="D165" s="2" t="s">
        <v>308</v>
      </c>
      <c r="E165" s="2" t="s">
        <v>91</v>
      </c>
      <c r="F165" s="2" t="s">
        <v>91</v>
      </c>
      <c r="G165" s="2" t="s">
        <v>108</v>
      </c>
      <c r="H165" s="2" t="s">
        <v>289</v>
      </c>
      <c r="I165" s="2" t="s">
        <v>133</v>
      </c>
      <c r="J165" s="2" t="s">
        <v>226</v>
      </c>
      <c r="K165" t="b">
        <v>0</v>
      </c>
      <c r="L165" s="2" t="s">
        <v>130</v>
      </c>
    </row>
    <row r="166" spans="1:12" hidden="1" x14ac:dyDescent="0.3">
      <c r="A166" s="2" t="s">
        <v>8</v>
      </c>
      <c r="B166" s="2" t="s">
        <v>223</v>
      </c>
      <c r="C166">
        <v>77</v>
      </c>
      <c r="D166" s="2" t="s">
        <v>309</v>
      </c>
      <c r="E166" s="2" t="s">
        <v>92</v>
      </c>
      <c r="F166" s="2" t="s">
        <v>92</v>
      </c>
      <c r="G166" s="2" t="s">
        <v>108</v>
      </c>
      <c r="H166" s="2" t="s">
        <v>289</v>
      </c>
      <c r="I166" s="2" t="s">
        <v>133</v>
      </c>
      <c r="J166" s="2" t="s">
        <v>226</v>
      </c>
      <c r="K166" t="b">
        <v>0</v>
      </c>
      <c r="L166" s="2" t="s">
        <v>130</v>
      </c>
    </row>
    <row r="167" spans="1:12" hidden="1" x14ac:dyDescent="0.3">
      <c r="A167" s="2" t="s">
        <v>8</v>
      </c>
      <c r="B167" s="2" t="s">
        <v>223</v>
      </c>
      <c r="C167">
        <v>78</v>
      </c>
      <c r="D167" s="2" t="s">
        <v>310</v>
      </c>
      <c r="E167" s="2" t="s">
        <v>93</v>
      </c>
      <c r="F167" s="2" t="s">
        <v>93</v>
      </c>
      <c r="G167" s="2" t="s">
        <v>108</v>
      </c>
      <c r="H167" s="2" t="s">
        <v>289</v>
      </c>
      <c r="I167" s="2" t="s">
        <v>133</v>
      </c>
      <c r="J167" s="2" t="s">
        <v>226</v>
      </c>
      <c r="K167" t="b">
        <v>0</v>
      </c>
      <c r="L167" s="2" t="s">
        <v>130</v>
      </c>
    </row>
    <row r="168" spans="1:12" hidden="1" x14ac:dyDescent="0.3">
      <c r="A168" s="2" t="s">
        <v>8</v>
      </c>
      <c r="B168" s="2" t="s">
        <v>223</v>
      </c>
      <c r="C168">
        <v>79</v>
      </c>
      <c r="D168" s="2" t="s">
        <v>311</v>
      </c>
      <c r="E168" s="2" t="s">
        <v>106</v>
      </c>
      <c r="F168" s="2" t="s">
        <v>106</v>
      </c>
      <c r="G168" s="2" t="s">
        <v>108</v>
      </c>
      <c r="H168" s="2" t="s">
        <v>289</v>
      </c>
      <c r="I168" s="2" t="s">
        <v>133</v>
      </c>
      <c r="J168" s="2" t="s">
        <v>226</v>
      </c>
      <c r="K168" t="b">
        <v>0</v>
      </c>
      <c r="L168" s="2" t="s">
        <v>130</v>
      </c>
    </row>
    <row r="169" spans="1:12" hidden="1" x14ac:dyDescent="0.3">
      <c r="A169" s="2" t="s">
        <v>8</v>
      </c>
      <c r="B169" s="2" t="s">
        <v>223</v>
      </c>
      <c r="C169">
        <v>80</v>
      </c>
      <c r="D169" s="2" t="s">
        <v>312</v>
      </c>
      <c r="E169" s="2" t="s">
        <v>107</v>
      </c>
      <c r="F169" s="2" t="s">
        <v>107</v>
      </c>
      <c r="G169" s="2" t="s">
        <v>108</v>
      </c>
      <c r="H169" s="2" t="s">
        <v>289</v>
      </c>
      <c r="I169" s="2" t="s">
        <v>133</v>
      </c>
      <c r="J169" s="2" t="s">
        <v>226</v>
      </c>
      <c r="K169" t="b">
        <v>0</v>
      </c>
      <c r="L169" s="2" t="s">
        <v>130</v>
      </c>
    </row>
    <row r="170" spans="1:12" hidden="1" x14ac:dyDescent="0.3">
      <c r="A170" s="2" t="s">
        <v>8</v>
      </c>
      <c r="B170" s="2" t="s">
        <v>223</v>
      </c>
      <c r="C170">
        <v>81</v>
      </c>
      <c r="D170" s="2" t="s">
        <v>313</v>
      </c>
      <c r="E170" s="2" t="s">
        <v>110</v>
      </c>
      <c r="F170" s="2" t="s">
        <v>110</v>
      </c>
      <c r="G170" s="2" t="s">
        <v>46</v>
      </c>
      <c r="H170" s="2" t="s">
        <v>163</v>
      </c>
      <c r="I170" s="2" t="s">
        <v>133</v>
      </c>
      <c r="J170" s="2" t="s">
        <v>226</v>
      </c>
      <c r="K170" t="b">
        <v>0</v>
      </c>
      <c r="L170" s="2" t="s">
        <v>130</v>
      </c>
    </row>
    <row r="171" spans="1:12" hidden="1" x14ac:dyDescent="0.3">
      <c r="A171" s="2" t="s">
        <v>8</v>
      </c>
      <c r="B171" s="2" t="s">
        <v>223</v>
      </c>
      <c r="C171">
        <v>82</v>
      </c>
      <c r="D171" s="2" t="s">
        <v>314</v>
      </c>
      <c r="E171" s="2" t="s">
        <v>111</v>
      </c>
      <c r="F171" s="2" t="s">
        <v>111</v>
      </c>
      <c r="G171" s="2" t="s">
        <v>46</v>
      </c>
      <c r="H171" s="2" t="s">
        <v>163</v>
      </c>
      <c r="I171" s="2" t="s">
        <v>133</v>
      </c>
      <c r="J171" s="2" t="s">
        <v>226</v>
      </c>
      <c r="K171" t="b">
        <v>0</v>
      </c>
      <c r="L171" s="2" t="s">
        <v>130</v>
      </c>
    </row>
    <row r="172" spans="1:12" hidden="1" x14ac:dyDescent="0.3">
      <c r="A172" s="2" t="s">
        <v>8</v>
      </c>
      <c r="B172" s="2" t="s">
        <v>223</v>
      </c>
      <c r="C172">
        <v>83</v>
      </c>
      <c r="D172" s="2" t="s">
        <v>315</v>
      </c>
      <c r="E172" s="2" t="s">
        <v>112</v>
      </c>
      <c r="F172" s="2" t="s">
        <v>112</v>
      </c>
      <c r="G172" s="2" t="s">
        <v>46</v>
      </c>
      <c r="H172" s="2" t="s">
        <v>163</v>
      </c>
      <c r="I172" s="2" t="s">
        <v>133</v>
      </c>
      <c r="J172" s="2" t="s">
        <v>226</v>
      </c>
      <c r="K172" t="b">
        <v>0</v>
      </c>
      <c r="L172" s="2" t="s">
        <v>130</v>
      </c>
    </row>
    <row r="173" spans="1:12" hidden="1" x14ac:dyDescent="0.3">
      <c r="A173" s="2" t="s">
        <v>8</v>
      </c>
      <c r="B173" s="2" t="s">
        <v>223</v>
      </c>
      <c r="C173">
        <v>84</v>
      </c>
      <c r="D173" s="2" t="s">
        <v>316</v>
      </c>
      <c r="E173" s="2" t="s">
        <v>109</v>
      </c>
      <c r="F173" s="2" t="s">
        <v>109</v>
      </c>
      <c r="G173" s="2" t="s">
        <v>46</v>
      </c>
      <c r="H173" s="2" t="s">
        <v>163</v>
      </c>
      <c r="I173" s="2" t="s">
        <v>133</v>
      </c>
      <c r="J173" s="2" t="s">
        <v>226</v>
      </c>
      <c r="K173" t="b">
        <v>0</v>
      </c>
      <c r="L173" s="2" t="s">
        <v>130</v>
      </c>
    </row>
    <row r="174" spans="1:12" hidden="1" x14ac:dyDescent="0.3">
      <c r="A174" s="2" t="s">
        <v>8</v>
      </c>
      <c r="B174" s="2" t="s">
        <v>223</v>
      </c>
      <c r="C174">
        <v>85</v>
      </c>
      <c r="D174" s="2" t="s">
        <v>317</v>
      </c>
      <c r="E174" s="2" t="s">
        <v>113</v>
      </c>
      <c r="F174" s="2" t="s">
        <v>113</v>
      </c>
      <c r="G174" s="2" t="s">
        <v>46</v>
      </c>
      <c r="H174" s="2" t="s">
        <v>163</v>
      </c>
      <c r="I174" s="2" t="s">
        <v>133</v>
      </c>
      <c r="J174" s="2" t="s">
        <v>226</v>
      </c>
      <c r="K174" t="b">
        <v>0</v>
      </c>
      <c r="L174" s="2" t="s">
        <v>130</v>
      </c>
    </row>
    <row r="175" spans="1:12" hidden="1" x14ac:dyDescent="0.3">
      <c r="A175" s="2" t="s">
        <v>8</v>
      </c>
      <c r="B175" s="2" t="s">
        <v>223</v>
      </c>
      <c r="C175">
        <v>86</v>
      </c>
      <c r="D175" s="2" t="s">
        <v>318</v>
      </c>
      <c r="E175" s="2" t="s">
        <v>114</v>
      </c>
      <c r="F175" s="2" t="s">
        <v>114</v>
      </c>
      <c r="G175" s="2" t="s">
        <v>46</v>
      </c>
      <c r="H175" s="2" t="s">
        <v>163</v>
      </c>
      <c r="I175" s="2" t="s">
        <v>133</v>
      </c>
      <c r="J175" s="2" t="s">
        <v>226</v>
      </c>
      <c r="K175" t="b">
        <v>0</v>
      </c>
      <c r="L175" s="2" t="s">
        <v>130</v>
      </c>
    </row>
    <row r="176" spans="1:12" hidden="1" x14ac:dyDescent="0.3">
      <c r="A176" s="2" t="s">
        <v>8</v>
      </c>
      <c r="B176" s="2" t="s">
        <v>223</v>
      </c>
      <c r="C176">
        <v>87</v>
      </c>
      <c r="D176" s="2" t="s">
        <v>319</v>
      </c>
      <c r="E176" s="2" t="s">
        <v>73</v>
      </c>
      <c r="F176" s="2" t="s">
        <v>73</v>
      </c>
      <c r="G176" s="2" t="s">
        <v>74</v>
      </c>
      <c r="H176" s="2" t="s">
        <v>320</v>
      </c>
      <c r="I176" s="2" t="s">
        <v>133</v>
      </c>
      <c r="J176" s="2" t="s">
        <v>226</v>
      </c>
      <c r="K176" t="b">
        <v>0</v>
      </c>
      <c r="L176" s="2" t="s">
        <v>130</v>
      </c>
    </row>
    <row r="177" spans="1:12" hidden="1" x14ac:dyDescent="0.3">
      <c r="A177" s="2" t="s">
        <v>8</v>
      </c>
      <c r="B177" s="2" t="s">
        <v>223</v>
      </c>
      <c r="C177">
        <v>88</v>
      </c>
      <c r="D177" s="2" t="s">
        <v>321</v>
      </c>
      <c r="E177" s="2" t="s">
        <v>75</v>
      </c>
      <c r="F177" s="2" t="s">
        <v>75</v>
      </c>
      <c r="G177" s="2" t="s">
        <v>74</v>
      </c>
      <c r="H177" s="2" t="s">
        <v>320</v>
      </c>
      <c r="I177" s="2" t="s">
        <v>133</v>
      </c>
      <c r="J177" s="2" t="s">
        <v>226</v>
      </c>
      <c r="K177" t="b">
        <v>0</v>
      </c>
      <c r="L177" s="2" t="s">
        <v>130</v>
      </c>
    </row>
    <row r="178" spans="1:12" hidden="1" x14ac:dyDescent="0.3">
      <c r="A178" s="2" t="s">
        <v>8</v>
      </c>
      <c r="B178" s="2" t="s">
        <v>223</v>
      </c>
      <c r="C178">
        <v>89</v>
      </c>
      <c r="D178" s="2" t="s">
        <v>322</v>
      </c>
      <c r="E178" s="2" t="s">
        <v>76</v>
      </c>
      <c r="F178" s="2" t="s">
        <v>76</v>
      </c>
      <c r="G178" s="2" t="s">
        <v>74</v>
      </c>
      <c r="H178" s="2" t="s">
        <v>320</v>
      </c>
      <c r="I178" s="2" t="s">
        <v>133</v>
      </c>
      <c r="J178" s="2" t="s">
        <v>226</v>
      </c>
      <c r="K178" t="b">
        <v>0</v>
      </c>
      <c r="L178" s="2" t="s">
        <v>130</v>
      </c>
    </row>
    <row r="179" spans="1:12" hidden="1" x14ac:dyDescent="0.3">
      <c r="A179" s="2" t="s">
        <v>8</v>
      </c>
      <c r="B179" s="2" t="s">
        <v>223</v>
      </c>
      <c r="C179">
        <v>90</v>
      </c>
      <c r="D179" s="2" t="s">
        <v>323</v>
      </c>
      <c r="E179" s="2" t="s">
        <v>78</v>
      </c>
      <c r="F179" s="2" t="s">
        <v>78</v>
      </c>
      <c r="G179" s="2" t="s">
        <v>80</v>
      </c>
      <c r="H179" s="2" t="s">
        <v>324</v>
      </c>
      <c r="I179" s="2" t="s">
        <v>133</v>
      </c>
      <c r="J179" s="2" t="s">
        <v>226</v>
      </c>
      <c r="K179" t="b">
        <v>0</v>
      </c>
      <c r="L179" s="2" t="s">
        <v>130</v>
      </c>
    </row>
    <row r="180" spans="1:12" hidden="1" x14ac:dyDescent="0.3">
      <c r="A180" s="2" t="s">
        <v>8</v>
      </c>
      <c r="B180" s="2" t="s">
        <v>223</v>
      </c>
      <c r="C180">
        <v>91</v>
      </c>
      <c r="D180" s="2" t="s">
        <v>325</v>
      </c>
      <c r="E180" s="2" t="s">
        <v>79</v>
      </c>
      <c r="F180" s="2" t="s">
        <v>79</v>
      </c>
      <c r="G180" s="2" t="s">
        <v>80</v>
      </c>
      <c r="H180" s="2" t="s">
        <v>324</v>
      </c>
      <c r="I180" s="2" t="s">
        <v>133</v>
      </c>
      <c r="J180" s="2" t="s">
        <v>226</v>
      </c>
      <c r="K180" t="b">
        <v>0</v>
      </c>
      <c r="L180" s="2" t="s">
        <v>130</v>
      </c>
    </row>
    <row r="181" spans="1:12" hidden="1" x14ac:dyDescent="0.3">
      <c r="A181" s="2" t="s">
        <v>8</v>
      </c>
      <c r="B181" s="2" t="s">
        <v>223</v>
      </c>
      <c r="C181">
        <v>92</v>
      </c>
      <c r="D181" s="2" t="s">
        <v>326</v>
      </c>
      <c r="E181" s="2" t="s">
        <v>11</v>
      </c>
      <c r="F181" s="2" t="s">
        <v>11</v>
      </c>
      <c r="G181" s="2" t="s">
        <v>80</v>
      </c>
      <c r="H181" s="2" t="s">
        <v>324</v>
      </c>
      <c r="I181" s="2" t="s">
        <v>133</v>
      </c>
      <c r="J181" s="2" t="s">
        <v>226</v>
      </c>
      <c r="K181" t="b">
        <v>0</v>
      </c>
      <c r="L181" s="2" t="s">
        <v>130</v>
      </c>
    </row>
    <row r="182" spans="1:12" hidden="1" x14ac:dyDescent="0.3">
      <c r="A182" s="2" t="s">
        <v>8</v>
      </c>
      <c r="B182" s="2" t="s">
        <v>223</v>
      </c>
      <c r="C182">
        <v>93</v>
      </c>
      <c r="D182" s="2" t="s">
        <v>327</v>
      </c>
      <c r="E182" s="2" t="s">
        <v>25</v>
      </c>
      <c r="F182" s="2" t="s">
        <v>25</v>
      </c>
      <c r="G182" s="2" t="s">
        <v>80</v>
      </c>
      <c r="H182" s="2" t="s">
        <v>324</v>
      </c>
      <c r="I182" s="2" t="s">
        <v>133</v>
      </c>
      <c r="J182" s="2" t="s">
        <v>226</v>
      </c>
      <c r="K182" t="b">
        <v>0</v>
      </c>
      <c r="L182" s="2" t="s">
        <v>130</v>
      </c>
    </row>
    <row r="183" spans="1:12" hidden="1" x14ac:dyDescent="0.3">
      <c r="A183" s="2" t="s">
        <v>8</v>
      </c>
      <c r="B183" s="2" t="s">
        <v>223</v>
      </c>
      <c r="C183">
        <v>94</v>
      </c>
      <c r="D183" s="2" t="s">
        <v>328</v>
      </c>
      <c r="E183" s="2" t="s">
        <v>27</v>
      </c>
      <c r="F183" s="2" t="s">
        <v>27</v>
      </c>
      <c r="G183" s="2" t="s">
        <v>80</v>
      </c>
      <c r="H183" s="2" t="s">
        <v>324</v>
      </c>
      <c r="I183" s="2" t="s">
        <v>133</v>
      </c>
      <c r="J183" s="2" t="s">
        <v>226</v>
      </c>
      <c r="K183" t="b">
        <v>0</v>
      </c>
      <c r="L183" s="2" t="s">
        <v>130</v>
      </c>
    </row>
    <row r="184" spans="1:12" hidden="1" x14ac:dyDescent="0.3">
      <c r="A184" s="2" t="s">
        <v>8</v>
      </c>
      <c r="B184" s="2" t="s">
        <v>223</v>
      </c>
      <c r="C184">
        <v>95</v>
      </c>
      <c r="D184" s="2" t="s">
        <v>329</v>
      </c>
      <c r="E184" s="2" t="s">
        <v>47</v>
      </c>
      <c r="F184" s="2" t="s">
        <v>47</v>
      </c>
      <c r="G184" s="2" t="s">
        <v>80</v>
      </c>
      <c r="H184" s="2" t="s">
        <v>324</v>
      </c>
      <c r="I184" s="2" t="s">
        <v>133</v>
      </c>
      <c r="J184" s="2" t="s">
        <v>226</v>
      </c>
      <c r="K184" t="b">
        <v>0</v>
      </c>
      <c r="L184" s="2" t="s">
        <v>130</v>
      </c>
    </row>
    <row r="185" spans="1:12" hidden="1" x14ac:dyDescent="0.3">
      <c r="A185" s="2" t="s">
        <v>8</v>
      </c>
      <c r="B185" s="2" t="s">
        <v>223</v>
      </c>
      <c r="C185">
        <v>96</v>
      </c>
      <c r="D185" s="2" t="s">
        <v>330</v>
      </c>
      <c r="E185" s="2" t="s">
        <v>122</v>
      </c>
      <c r="F185" s="2" t="s">
        <v>122</v>
      </c>
      <c r="G185" s="2" t="s">
        <v>80</v>
      </c>
      <c r="H185" s="2" t="s">
        <v>324</v>
      </c>
      <c r="I185" s="2" t="s">
        <v>133</v>
      </c>
      <c r="J185" s="2" t="s">
        <v>226</v>
      </c>
      <c r="K185" t="b">
        <v>0</v>
      </c>
      <c r="L185" s="2" t="s">
        <v>130</v>
      </c>
    </row>
    <row r="186" spans="1:12" hidden="1" x14ac:dyDescent="0.3">
      <c r="A186" s="2" t="s">
        <v>8</v>
      </c>
      <c r="B186" s="2" t="s">
        <v>223</v>
      </c>
      <c r="C186">
        <v>97</v>
      </c>
      <c r="D186" s="2" t="s">
        <v>331</v>
      </c>
      <c r="E186" s="2" t="s">
        <v>24</v>
      </c>
      <c r="F186" s="2" t="s">
        <v>24</v>
      </c>
      <c r="G186" s="2" t="s">
        <v>80</v>
      </c>
      <c r="H186" s="2" t="s">
        <v>324</v>
      </c>
      <c r="I186" s="2" t="s">
        <v>133</v>
      </c>
      <c r="J186" s="2" t="s">
        <v>226</v>
      </c>
      <c r="K186" t="b">
        <v>0</v>
      </c>
      <c r="L186" s="2" t="s">
        <v>130</v>
      </c>
    </row>
    <row r="187" spans="1:12" hidden="1" x14ac:dyDescent="0.3">
      <c r="A187" s="2" t="s">
        <v>8</v>
      </c>
      <c r="B187" s="2" t="s">
        <v>332</v>
      </c>
      <c r="C187">
        <v>1</v>
      </c>
      <c r="D187" s="2" t="s">
        <v>333</v>
      </c>
      <c r="E187" s="2" t="s">
        <v>56</v>
      </c>
      <c r="F187" s="2" t="s">
        <v>225</v>
      </c>
      <c r="G187" s="2" t="s">
        <v>36</v>
      </c>
      <c r="H187" s="2" t="s">
        <v>132</v>
      </c>
      <c r="I187" s="2" t="s">
        <v>133</v>
      </c>
      <c r="J187" s="2" t="s">
        <v>334</v>
      </c>
      <c r="K187" t="b">
        <v>1</v>
      </c>
      <c r="L187" s="2" t="s">
        <v>130</v>
      </c>
    </row>
    <row r="188" spans="1:12" hidden="1" x14ac:dyDescent="0.3">
      <c r="A188" s="2" t="s">
        <v>8</v>
      </c>
      <c r="B188" s="2" t="s">
        <v>332</v>
      </c>
      <c r="C188">
        <v>2</v>
      </c>
      <c r="D188" s="2" t="s">
        <v>335</v>
      </c>
      <c r="E188" s="2" t="s">
        <v>71</v>
      </c>
      <c r="F188" s="2" t="s">
        <v>228</v>
      </c>
      <c r="G188" s="2" t="s">
        <v>36</v>
      </c>
      <c r="H188" s="2" t="s">
        <v>132</v>
      </c>
      <c r="I188" s="2" t="s">
        <v>133</v>
      </c>
      <c r="J188" s="2" t="s">
        <v>334</v>
      </c>
      <c r="K188" t="b">
        <v>1</v>
      </c>
      <c r="L188" s="2" t="s">
        <v>130</v>
      </c>
    </row>
    <row r="189" spans="1:12" hidden="1" x14ac:dyDescent="0.3">
      <c r="A189" s="2" t="s">
        <v>8</v>
      </c>
      <c r="B189" s="2" t="s">
        <v>332</v>
      </c>
      <c r="C189">
        <v>3</v>
      </c>
      <c r="D189" s="2" t="s">
        <v>336</v>
      </c>
      <c r="E189" s="2" t="s">
        <v>28</v>
      </c>
      <c r="F189" s="2" t="s">
        <v>28</v>
      </c>
      <c r="G189" s="2" t="s">
        <v>36</v>
      </c>
      <c r="H189" s="2" t="s">
        <v>132</v>
      </c>
      <c r="I189" s="2" t="s">
        <v>133</v>
      </c>
      <c r="J189" s="2" t="s">
        <v>334</v>
      </c>
      <c r="K189" t="b">
        <v>0</v>
      </c>
      <c r="L189" s="2" t="s">
        <v>130</v>
      </c>
    </row>
    <row r="190" spans="1:12" hidden="1" x14ac:dyDescent="0.3">
      <c r="A190" s="2" t="s">
        <v>8</v>
      </c>
      <c r="B190" s="2" t="s">
        <v>332</v>
      </c>
      <c r="C190">
        <v>4</v>
      </c>
      <c r="D190" s="2" t="s">
        <v>337</v>
      </c>
      <c r="E190" s="2" t="s">
        <v>30</v>
      </c>
      <c r="F190" s="2" t="s">
        <v>30</v>
      </c>
      <c r="G190" s="2" t="s">
        <v>36</v>
      </c>
      <c r="H190" s="2" t="s">
        <v>132</v>
      </c>
      <c r="I190" s="2" t="s">
        <v>133</v>
      </c>
      <c r="J190" s="2" t="s">
        <v>334</v>
      </c>
      <c r="K190" t="b">
        <v>0</v>
      </c>
      <c r="L190" s="2" t="s">
        <v>130</v>
      </c>
    </row>
    <row r="191" spans="1:12" hidden="1" x14ac:dyDescent="0.3">
      <c r="A191" s="2" t="s">
        <v>8</v>
      </c>
      <c r="B191" s="2" t="s">
        <v>332</v>
      </c>
      <c r="C191">
        <v>5</v>
      </c>
      <c r="D191" s="2" t="s">
        <v>338</v>
      </c>
      <c r="E191" s="2" t="s">
        <v>51</v>
      </c>
      <c r="F191" s="2" t="s">
        <v>51</v>
      </c>
      <c r="G191" s="2" t="s">
        <v>36</v>
      </c>
      <c r="H191" s="2" t="s">
        <v>132</v>
      </c>
      <c r="I191" s="2" t="s">
        <v>133</v>
      </c>
      <c r="J191" s="2" t="s">
        <v>334</v>
      </c>
      <c r="K191" t="b">
        <v>0</v>
      </c>
      <c r="L191" s="2" t="s">
        <v>130</v>
      </c>
    </row>
    <row r="192" spans="1:12" hidden="1" x14ac:dyDescent="0.3">
      <c r="A192" s="2" t="s">
        <v>8</v>
      </c>
      <c r="B192" s="2" t="s">
        <v>332</v>
      </c>
      <c r="C192">
        <v>6</v>
      </c>
      <c r="D192" s="2" t="s">
        <v>339</v>
      </c>
      <c r="E192" s="2" t="s">
        <v>70</v>
      </c>
      <c r="F192" s="2" t="s">
        <v>70</v>
      </c>
      <c r="G192" s="2" t="s">
        <v>36</v>
      </c>
      <c r="H192" s="2" t="s">
        <v>132</v>
      </c>
      <c r="I192" s="2" t="s">
        <v>133</v>
      </c>
      <c r="J192" s="2" t="s">
        <v>334</v>
      </c>
      <c r="K192" t="b">
        <v>0</v>
      </c>
      <c r="L192" s="2" t="s">
        <v>130</v>
      </c>
    </row>
    <row r="193" spans="1:12" hidden="1" x14ac:dyDescent="0.3">
      <c r="A193" s="2" t="s">
        <v>8</v>
      </c>
      <c r="B193" s="2" t="s">
        <v>332</v>
      </c>
      <c r="C193">
        <v>7</v>
      </c>
      <c r="D193" s="2" t="s">
        <v>340</v>
      </c>
      <c r="E193" s="2" t="s">
        <v>48</v>
      </c>
      <c r="F193" s="2" t="s">
        <v>48</v>
      </c>
      <c r="G193" s="2" t="s">
        <v>36</v>
      </c>
      <c r="H193" s="2" t="s">
        <v>132</v>
      </c>
      <c r="I193" s="2" t="s">
        <v>133</v>
      </c>
      <c r="J193" s="2" t="s">
        <v>334</v>
      </c>
      <c r="K193" t="b">
        <v>0</v>
      </c>
      <c r="L193" s="2" t="s">
        <v>130</v>
      </c>
    </row>
    <row r="194" spans="1:12" hidden="1" x14ac:dyDescent="0.3">
      <c r="A194" s="2" t="s">
        <v>8</v>
      </c>
      <c r="B194" s="2" t="s">
        <v>332</v>
      </c>
      <c r="C194">
        <v>8</v>
      </c>
      <c r="D194" s="2" t="s">
        <v>341</v>
      </c>
      <c r="E194" s="2" t="s">
        <v>7</v>
      </c>
      <c r="F194" s="2" t="s">
        <v>7</v>
      </c>
      <c r="G194" s="2" t="s">
        <v>36</v>
      </c>
      <c r="H194" s="2" t="s">
        <v>132</v>
      </c>
      <c r="I194" s="2" t="s">
        <v>133</v>
      </c>
      <c r="J194" s="2" t="s">
        <v>334</v>
      </c>
      <c r="K194" t="b">
        <v>0</v>
      </c>
      <c r="L194" s="2" t="s">
        <v>130</v>
      </c>
    </row>
    <row r="195" spans="1:12" hidden="1" x14ac:dyDescent="0.3">
      <c r="A195" s="2" t="s">
        <v>8</v>
      </c>
      <c r="B195" s="2" t="s">
        <v>332</v>
      </c>
      <c r="C195">
        <v>9</v>
      </c>
      <c r="D195" s="2" t="s">
        <v>342</v>
      </c>
      <c r="E195" s="2" t="s">
        <v>31</v>
      </c>
      <c r="F195" s="2" t="s">
        <v>31</v>
      </c>
      <c r="G195" s="2" t="s">
        <v>36</v>
      </c>
      <c r="H195" s="2" t="s">
        <v>132</v>
      </c>
      <c r="I195" s="2" t="s">
        <v>133</v>
      </c>
      <c r="J195" s="2" t="s">
        <v>334</v>
      </c>
      <c r="K195" t="b">
        <v>0</v>
      </c>
      <c r="L195" s="2" t="s">
        <v>130</v>
      </c>
    </row>
    <row r="196" spans="1:12" hidden="1" x14ac:dyDescent="0.3">
      <c r="A196" s="2" t="s">
        <v>8</v>
      </c>
      <c r="B196" s="2" t="s">
        <v>332</v>
      </c>
      <c r="C196">
        <v>10</v>
      </c>
      <c r="D196" s="2" t="s">
        <v>343</v>
      </c>
      <c r="E196" s="2" t="s">
        <v>33</v>
      </c>
      <c r="F196" s="2" t="s">
        <v>33</v>
      </c>
      <c r="G196" s="2" t="s">
        <v>36</v>
      </c>
      <c r="H196" s="2" t="s">
        <v>132</v>
      </c>
      <c r="I196" s="2" t="s">
        <v>133</v>
      </c>
      <c r="J196" s="2" t="s">
        <v>334</v>
      </c>
      <c r="K196" t="b">
        <v>0</v>
      </c>
      <c r="L196" s="2" t="s">
        <v>130</v>
      </c>
    </row>
    <row r="197" spans="1:12" hidden="1" x14ac:dyDescent="0.3">
      <c r="A197" s="2" t="s">
        <v>8</v>
      </c>
      <c r="B197" s="2" t="s">
        <v>332</v>
      </c>
      <c r="C197">
        <v>11</v>
      </c>
      <c r="D197" s="2" t="s">
        <v>344</v>
      </c>
      <c r="E197" s="2" t="s">
        <v>58</v>
      </c>
      <c r="F197" s="2" t="s">
        <v>58</v>
      </c>
      <c r="G197" s="2" t="s">
        <v>36</v>
      </c>
      <c r="H197" s="2" t="s">
        <v>132</v>
      </c>
      <c r="I197" s="2" t="s">
        <v>133</v>
      </c>
      <c r="J197" s="2" t="s">
        <v>334</v>
      </c>
      <c r="K197" t="b">
        <v>0</v>
      </c>
      <c r="L197" s="2" t="s">
        <v>130</v>
      </c>
    </row>
    <row r="198" spans="1:12" hidden="1" x14ac:dyDescent="0.3">
      <c r="A198" s="2" t="s">
        <v>8</v>
      </c>
      <c r="B198" s="2" t="s">
        <v>332</v>
      </c>
      <c r="C198">
        <v>12</v>
      </c>
      <c r="D198" s="2" t="s">
        <v>345</v>
      </c>
      <c r="E198" s="2" t="s">
        <v>59</v>
      </c>
      <c r="F198" s="2" t="s">
        <v>239</v>
      </c>
      <c r="G198" s="2" t="s">
        <v>36</v>
      </c>
      <c r="H198" s="2" t="s">
        <v>132</v>
      </c>
      <c r="I198" s="2" t="s">
        <v>133</v>
      </c>
      <c r="J198" s="2" t="s">
        <v>334</v>
      </c>
      <c r="K198" t="b">
        <v>1</v>
      </c>
      <c r="L198" s="2" t="s">
        <v>130</v>
      </c>
    </row>
    <row r="199" spans="1:12" hidden="1" x14ac:dyDescent="0.3">
      <c r="A199" s="2" t="s">
        <v>8</v>
      </c>
      <c r="B199" s="2" t="s">
        <v>332</v>
      </c>
      <c r="C199">
        <v>13</v>
      </c>
      <c r="D199" s="2" t="s">
        <v>346</v>
      </c>
      <c r="E199" s="2" t="s">
        <v>61</v>
      </c>
      <c r="F199" s="2" t="s">
        <v>241</v>
      </c>
      <c r="G199" s="2" t="s">
        <v>36</v>
      </c>
      <c r="H199" s="2" t="s">
        <v>132</v>
      </c>
      <c r="I199" s="2" t="s">
        <v>133</v>
      </c>
      <c r="J199" s="2" t="s">
        <v>334</v>
      </c>
      <c r="K199" t="b">
        <v>1</v>
      </c>
      <c r="L199" s="2" t="s">
        <v>130</v>
      </c>
    </row>
    <row r="200" spans="1:12" hidden="1" x14ac:dyDescent="0.3">
      <c r="A200" s="2" t="s">
        <v>8</v>
      </c>
      <c r="B200" s="2" t="s">
        <v>332</v>
      </c>
      <c r="C200">
        <v>14</v>
      </c>
      <c r="D200" s="2" t="s">
        <v>347</v>
      </c>
      <c r="E200" s="2" t="s">
        <v>121</v>
      </c>
      <c r="F200" s="2" t="s">
        <v>121</v>
      </c>
      <c r="G200" s="2" t="s">
        <v>36</v>
      </c>
      <c r="H200" s="2" t="s">
        <v>132</v>
      </c>
      <c r="I200" s="2" t="s">
        <v>133</v>
      </c>
      <c r="J200" s="2" t="s">
        <v>334</v>
      </c>
      <c r="K200" t="b">
        <v>0</v>
      </c>
      <c r="L200" s="2" t="s">
        <v>130</v>
      </c>
    </row>
    <row r="201" spans="1:12" hidden="1" x14ac:dyDescent="0.3">
      <c r="A201" s="2" t="s">
        <v>8</v>
      </c>
      <c r="B201" s="2" t="s">
        <v>332</v>
      </c>
      <c r="C201">
        <v>15</v>
      </c>
      <c r="D201" s="2" t="s">
        <v>348</v>
      </c>
      <c r="E201" s="2" t="s">
        <v>62</v>
      </c>
      <c r="F201" s="2" t="s">
        <v>62</v>
      </c>
      <c r="G201" s="2" t="s">
        <v>36</v>
      </c>
      <c r="H201" s="2" t="s">
        <v>132</v>
      </c>
      <c r="I201" s="2" t="s">
        <v>133</v>
      </c>
      <c r="J201" s="2" t="s">
        <v>334</v>
      </c>
      <c r="K201" t="b">
        <v>0</v>
      </c>
      <c r="L201" s="2" t="s">
        <v>130</v>
      </c>
    </row>
    <row r="202" spans="1:12" hidden="1" x14ac:dyDescent="0.3">
      <c r="A202" s="2" t="s">
        <v>8</v>
      </c>
      <c r="B202" s="2" t="s">
        <v>332</v>
      </c>
      <c r="C202">
        <v>16</v>
      </c>
      <c r="D202" s="2" t="s">
        <v>349</v>
      </c>
      <c r="E202" s="2" t="s">
        <v>17</v>
      </c>
      <c r="F202" s="2" t="s">
        <v>17</v>
      </c>
      <c r="G202" s="2" t="s">
        <v>36</v>
      </c>
      <c r="H202" s="2" t="s">
        <v>132</v>
      </c>
      <c r="I202" s="2" t="s">
        <v>133</v>
      </c>
      <c r="J202" s="2" t="s">
        <v>334</v>
      </c>
      <c r="K202" t="b">
        <v>0</v>
      </c>
      <c r="L202" s="2" t="s">
        <v>130</v>
      </c>
    </row>
    <row r="203" spans="1:12" hidden="1" x14ac:dyDescent="0.3">
      <c r="A203" s="2" t="s">
        <v>8</v>
      </c>
      <c r="B203" s="2" t="s">
        <v>332</v>
      </c>
      <c r="C203">
        <v>17</v>
      </c>
      <c r="D203" s="2" t="s">
        <v>350</v>
      </c>
      <c r="E203" s="2" t="s">
        <v>60</v>
      </c>
      <c r="F203" s="2" t="s">
        <v>60</v>
      </c>
      <c r="G203" s="2" t="s">
        <v>36</v>
      </c>
      <c r="H203" s="2" t="s">
        <v>132</v>
      </c>
      <c r="I203" s="2" t="s">
        <v>133</v>
      </c>
      <c r="J203" s="2" t="s">
        <v>334</v>
      </c>
      <c r="K203" t="b">
        <v>0</v>
      </c>
      <c r="L203" s="2" t="s">
        <v>130</v>
      </c>
    </row>
    <row r="204" spans="1:12" hidden="1" x14ac:dyDescent="0.3">
      <c r="A204" s="2" t="s">
        <v>8</v>
      </c>
      <c r="B204" s="2" t="s">
        <v>332</v>
      </c>
      <c r="C204">
        <v>18</v>
      </c>
      <c r="D204" s="2" t="s">
        <v>351</v>
      </c>
      <c r="E204" s="2" t="s">
        <v>11</v>
      </c>
      <c r="F204" s="2" t="s">
        <v>11</v>
      </c>
      <c r="G204" s="2" t="s">
        <v>36</v>
      </c>
      <c r="H204" s="2" t="s">
        <v>132</v>
      </c>
      <c r="I204" s="2" t="s">
        <v>133</v>
      </c>
      <c r="J204" s="2" t="s">
        <v>334</v>
      </c>
      <c r="K204" t="b">
        <v>0</v>
      </c>
      <c r="L204" s="2" t="s">
        <v>130</v>
      </c>
    </row>
    <row r="205" spans="1:12" hidden="1" x14ac:dyDescent="0.3">
      <c r="A205" s="2" t="s">
        <v>8</v>
      </c>
      <c r="B205" s="2" t="s">
        <v>332</v>
      </c>
      <c r="C205">
        <v>19</v>
      </c>
      <c r="D205" s="2" t="s">
        <v>352</v>
      </c>
      <c r="E205" s="2" t="s">
        <v>55</v>
      </c>
      <c r="F205" s="2" t="s">
        <v>55</v>
      </c>
      <c r="G205" s="2" t="s">
        <v>36</v>
      </c>
      <c r="H205" s="2" t="s">
        <v>132</v>
      </c>
      <c r="I205" s="2" t="s">
        <v>133</v>
      </c>
      <c r="J205" s="2" t="s">
        <v>334</v>
      </c>
      <c r="K205" t="b">
        <v>0</v>
      </c>
      <c r="L205" s="2" t="s">
        <v>130</v>
      </c>
    </row>
    <row r="206" spans="1:12" hidden="1" x14ac:dyDescent="0.3">
      <c r="A206" s="2" t="s">
        <v>8</v>
      </c>
      <c r="B206" s="2" t="s">
        <v>332</v>
      </c>
      <c r="C206">
        <v>20</v>
      </c>
      <c r="D206" s="2" t="s">
        <v>353</v>
      </c>
      <c r="E206" s="2" t="s">
        <v>66</v>
      </c>
      <c r="F206" s="2" t="s">
        <v>66</v>
      </c>
      <c r="G206" s="2" t="s">
        <v>36</v>
      </c>
      <c r="H206" s="2" t="s">
        <v>132</v>
      </c>
      <c r="I206" s="2" t="s">
        <v>133</v>
      </c>
      <c r="J206" s="2" t="s">
        <v>334</v>
      </c>
      <c r="K206" t="b">
        <v>0</v>
      </c>
      <c r="L206" s="2" t="s">
        <v>130</v>
      </c>
    </row>
    <row r="207" spans="1:12" hidden="1" x14ac:dyDescent="0.3">
      <c r="A207" s="2" t="s">
        <v>8</v>
      </c>
      <c r="B207" s="2" t="s">
        <v>332</v>
      </c>
      <c r="C207">
        <v>21</v>
      </c>
      <c r="D207" s="2" t="s">
        <v>354</v>
      </c>
      <c r="E207" s="2" t="s">
        <v>25</v>
      </c>
      <c r="F207" s="2" t="s">
        <v>25</v>
      </c>
      <c r="G207" s="2" t="s">
        <v>36</v>
      </c>
      <c r="H207" s="2" t="s">
        <v>132</v>
      </c>
      <c r="I207" s="2" t="s">
        <v>133</v>
      </c>
      <c r="J207" s="2" t="s">
        <v>334</v>
      </c>
      <c r="K207" t="b">
        <v>0</v>
      </c>
      <c r="L207" s="2" t="s">
        <v>130</v>
      </c>
    </row>
    <row r="208" spans="1:12" hidden="1" x14ac:dyDescent="0.3">
      <c r="A208" s="2" t="s">
        <v>8</v>
      </c>
      <c r="B208" s="2" t="s">
        <v>332</v>
      </c>
      <c r="C208">
        <v>22</v>
      </c>
      <c r="D208" s="2" t="s">
        <v>355</v>
      </c>
      <c r="E208" s="2" t="s">
        <v>26</v>
      </c>
      <c r="F208" s="2" t="s">
        <v>26</v>
      </c>
      <c r="G208" s="2" t="s">
        <v>36</v>
      </c>
      <c r="H208" s="2" t="s">
        <v>132</v>
      </c>
      <c r="I208" s="2" t="s">
        <v>133</v>
      </c>
      <c r="J208" s="2" t="s">
        <v>334</v>
      </c>
      <c r="K208" t="b">
        <v>0</v>
      </c>
      <c r="L208" s="2" t="s">
        <v>130</v>
      </c>
    </row>
    <row r="209" spans="1:12" hidden="1" x14ac:dyDescent="0.3">
      <c r="A209" s="2" t="s">
        <v>8</v>
      </c>
      <c r="B209" s="2" t="s">
        <v>332</v>
      </c>
      <c r="C209">
        <v>23</v>
      </c>
      <c r="D209" s="2" t="s">
        <v>356</v>
      </c>
      <c r="E209" s="2" t="s">
        <v>27</v>
      </c>
      <c r="F209" s="2" t="s">
        <v>27</v>
      </c>
      <c r="G209" s="2" t="s">
        <v>36</v>
      </c>
      <c r="H209" s="2" t="s">
        <v>132</v>
      </c>
      <c r="I209" s="2" t="s">
        <v>133</v>
      </c>
      <c r="J209" s="2" t="s">
        <v>334</v>
      </c>
      <c r="K209" t="b">
        <v>0</v>
      </c>
      <c r="L209" s="2" t="s">
        <v>130</v>
      </c>
    </row>
    <row r="210" spans="1:12" hidden="1" x14ac:dyDescent="0.3">
      <c r="A210" s="2" t="s">
        <v>8</v>
      </c>
      <c r="B210" s="2" t="s">
        <v>332</v>
      </c>
      <c r="C210">
        <v>24</v>
      </c>
      <c r="D210" s="2" t="s">
        <v>357</v>
      </c>
      <c r="E210" s="2" t="s">
        <v>47</v>
      </c>
      <c r="F210" s="2" t="s">
        <v>47</v>
      </c>
      <c r="G210" s="2" t="s">
        <v>36</v>
      </c>
      <c r="H210" s="2" t="s">
        <v>132</v>
      </c>
      <c r="I210" s="2" t="s">
        <v>133</v>
      </c>
      <c r="J210" s="2" t="s">
        <v>334</v>
      </c>
      <c r="K210" t="b">
        <v>0</v>
      </c>
      <c r="L210" s="2" t="s">
        <v>130</v>
      </c>
    </row>
    <row r="211" spans="1:12" hidden="1" x14ac:dyDescent="0.3">
      <c r="A211" s="2" t="s">
        <v>8</v>
      </c>
      <c r="B211" s="2" t="s">
        <v>332</v>
      </c>
      <c r="C211">
        <v>25</v>
      </c>
      <c r="D211" s="2" t="s">
        <v>358</v>
      </c>
      <c r="E211" s="2" t="s">
        <v>24</v>
      </c>
      <c r="F211" s="2" t="s">
        <v>24</v>
      </c>
      <c r="G211" s="2" t="s">
        <v>36</v>
      </c>
      <c r="H211" s="2" t="s">
        <v>132</v>
      </c>
      <c r="I211" s="2" t="s">
        <v>133</v>
      </c>
      <c r="J211" s="2" t="s">
        <v>334</v>
      </c>
      <c r="K211" t="b">
        <v>0</v>
      </c>
      <c r="L211" s="2" t="s">
        <v>130</v>
      </c>
    </row>
    <row r="212" spans="1:12" hidden="1" x14ac:dyDescent="0.3">
      <c r="A212" s="2" t="s">
        <v>8</v>
      </c>
      <c r="B212" s="2" t="s">
        <v>332</v>
      </c>
      <c r="C212">
        <v>26</v>
      </c>
      <c r="D212" s="2" t="s">
        <v>359</v>
      </c>
      <c r="E212" s="2" t="s">
        <v>65</v>
      </c>
      <c r="F212" s="2" t="s">
        <v>65</v>
      </c>
      <c r="G212" s="2" t="s">
        <v>36</v>
      </c>
      <c r="H212" s="2" t="s">
        <v>132</v>
      </c>
      <c r="I212" s="2" t="s">
        <v>133</v>
      </c>
      <c r="J212" s="2" t="s">
        <v>334</v>
      </c>
      <c r="K212" t="b">
        <v>0</v>
      </c>
      <c r="L212" s="2" t="s">
        <v>130</v>
      </c>
    </row>
    <row r="213" spans="1:12" hidden="1" x14ac:dyDescent="0.3">
      <c r="A213" s="2" t="s">
        <v>8</v>
      </c>
      <c r="B213" s="2" t="s">
        <v>332</v>
      </c>
      <c r="C213">
        <v>27</v>
      </c>
      <c r="D213" s="2" t="s">
        <v>360</v>
      </c>
      <c r="E213" s="2" t="s">
        <v>63</v>
      </c>
      <c r="F213" s="2" t="s">
        <v>257</v>
      </c>
      <c r="G213" s="2" t="s">
        <v>36</v>
      </c>
      <c r="H213" s="2" t="s">
        <v>132</v>
      </c>
      <c r="I213" s="2" t="s">
        <v>133</v>
      </c>
      <c r="J213" s="2" t="s">
        <v>334</v>
      </c>
      <c r="K213" t="b">
        <v>1</v>
      </c>
      <c r="L213" s="2" t="s">
        <v>130</v>
      </c>
    </row>
    <row r="214" spans="1:12" hidden="1" x14ac:dyDescent="0.3">
      <c r="A214" s="2" t="s">
        <v>8</v>
      </c>
      <c r="B214" s="2" t="s">
        <v>332</v>
      </c>
      <c r="C214">
        <v>28</v>
      </c>
      <c r="D214" s="2" t="s">
        <v>361</v>
      </c>
      <c r="E214" s="2" t="s">
        <v>13</v>
      </c>
      <c r="F214" s="2" t="s">
        <v>13</v>
      </c>
      <c r="G214" s="2" t="s">
        <v>36</v>
      </c>
      <c r="H214" s="2" t="s">
        <v>132</v>
      </c>
      <c r="I214" s="2" t="s">
        <v>133</v>
      </c>
      <c r="J214" s="2" t="s">
        <v>334</v>
      </c>
      <c r="K214" t="b">
        <v>0</v>
      </c>
      <c r="L214" s="2" t="s">
        <v>130</v>
      </c>
    </row>
    <row r="215" spans="1:12" hidden="1" x14ac:dyDescent="0.3">
      <c r="A215" s="2" t="s">
        <v>8</v>
      </c>
      <c r="B215" s="2" t="s">
        <v>332</v>
      </c>
      <c r="C215">
        <v>29</v>
      </c>
      <c r="D215" s="2" t="s">
        <v>362</v>
      </c>
      <c r="E215" s="2" t="s">
        <v>72</v>
      </c>
      <c r="F215" s="2" t="s">
        <v>72</v>
      </c>
      <c r="G215" s="2" t="s">
        <v>36</v>
      </c>
      <c r="H215" s="2" t="s">
        <v>132</v>
      </c>
      <c r="I215" s="2" t="s">
        <v>133</v>
      </c>
      <c r="J215" s="2" t="s">
        <v>334</v>
      </c>
      <c r="K215" t="b">
        <v>0</v>
      </c>
      <c r="L215" s="2" t="s">
        <v>130</v>
      </c>
    </row>
    <row r="216" spans="1:12" hidden="1" x14ac:dyDescent="0.3">
      <c r="A216" s="2" t="s">
        <v>8</v>
      </c>
      <c r="B216" s="2" t="s">
        <v>332</v>
      </c>
      <c r="C216">
        <v>30</v>
      </c>
      <c r="D216" s="2" t="s">
        <v>363</v>
      </c>
      <c r="E216" s="2" t="s">
        <v>16</v>
      </c>
      <c r="F216" s="2" t="s">
        <v>155</v>
      </c>
      <c r="G216" s="2" t="s">
        <v>36</v>
      </c>
      <c r="H216" s="2" t="s">
        <v>132</v>
      </c>
      <c r="I216" s="2" t="s">
        <v>133</v>
      </c>
      <c r="J216" s="2" t="s">
        <v>334</v>
      </c>
      <c r="K216" t="b">
        <v>1</v>
      </c>
      <c r="L216" s="2" t="s">
        <v>130</v>
      </c>
    </row>
    <row r="217" spans="1:12" hidden="1" x14ac:dyDescent="0.3">
      <c r="A217" s="2" t="s">
        <v>8</v>
      </c>
      <c r="B217" s="2" t="s">
        <v>332</v>
      </c>
      <c r="C217">
        <v>31</v>
      </c>
      <c r="D217" s="2" t="s">
        <v>364</v>
      </c>
      <c r="E217" s="2" t="s">
        <v>18</v>
      </c>
      <c r="F217" s="2" t="s">
        <v>18</v>
      </c>
      <c r="G217" s="2" t="s">
        <v>36</v>
      </c>
      <c r="H217" s="2" t="s">
        <v>132</v>
      </c>
      <c r="I217" s="2" t="s">
        <v>133</v>
      </c>
      <c r="J217" s="2" t="s">
        <v>334</v>
      </c>
      <c r="K217" t="b">
        <v>0</v>
      </c>
      <c r="L217" s="2" t="s">
        <v>130</v>
      </c>
    </row>
    <row r="218" spans="1:12" hidden="1" x14ac:dyDescent="0.3">
      <c r="A218" s="2" t="s">
        <v>8</v>
      </c>
      <c r="B218" s="2" t="s">
        <v>332</v>
      </c>
      <c r="C218">
        <v>32</v>
      </c>
      <c r="D218" s="2" t="s">
        <v>365</v>
      </c>
      <c r="E218" s="2" t="s">
        <v>77</v>
      </c>
      <c r="F218" s="2" t="s">
        <v>77</v>
      </c>
      <c r="G218" s="2" t="s">
        <v>36</v>
      </c>
      <c r="H218" s="2" t="s">
        <v>132</v>
      </c>
      <c r="I218" s="2" t="s">
        <v>133</v>
      </c>
      <c r="J218" s="2" t="s">
        <v>334</v>
      </c>
      <c r="K218" t="b">
        <v>0</v>
      </c>
      <c r="L218" s="2" t="s">
        <v>130</v>
      </c>
    </row>
    <row r="219" spans="1:12" hidden="1" x14ac:dyDescent="0.3">
      <c r="A219" s="2" t="s">
        <v>8</v>
      </c>
      <c r="B219" s="2" t="s">
        <v>332</v>
      </c>
      <c r="C219">
        <v>33</v>
      </c>
      <c r="D219" s="2" t="s">
        <v>366</v>
      </c>
      <c r="E219" s="2" t="s">
        <v>81</v>
      </c>
      <c r="F219" s="2" t="s">
        <v>81</v>
      </c>
      <c r="G219" s="2" t="s">
        <v>124</v>
      </c>
      <c r="H219" s="2" t="s">
        <v>367</v>
      </c>
      <c r="I219" s="2" t="s">
        <v>133</v>
      </c>
      <c r="J219" s="2" t="s">
        <v>334</v>
      </c>
      <c r="K219" t="b">
        <v>0</v>
      </c>
      <c r="L219" s="2" t="s">
        <v>130</v>
      </c>
    </row>
    <row r="220" spans="1:12" hidden="1" x14ac:dyDescent="0.3">
      <c r="A220" s="2" t="s">
        <v>8</v>
      </c>
      <c r="B220" s="2" t="s">
        <v>332</v>
      </c>
      <c r="C220">
        <v>34</v>
      </c>
      <c r="D220" s="2" t="s">
        <v>368</v>
      </c>
      <c r="E220" s="2" t="s">
        <v>68</v>
      </c>
      <c r="F220" s="2" t="s">
        <v>68</v>
      </c>
      <c r="G220" s="2" t="s">
        <v>124</v>
      </c>
      <c r="H220" s="2" t="s">
        <v>367</v>
      </c>
      <c r="I220" s="2" t="s">
        <v>133</v>
      </c>
      <c r="J220" s="2" t="s">
        <v>334</v>
      </c>
      <c r="K220" t="b">
        <v>0</v>
      </c>
      <c r="L220" s="2" t="s">
        <v>130</v>
      </c>
    </row>
    <row r="221" spans="1:12" hidden="1" x14ac:dyDescent="0.3">
      <c r="A221" s="2" t="s">
        <v>8</v>
      </c>
      <c r="B221" s="2" t="s">
        <v>332</v>
      </c>
      <c r="C221">
        <v>35</v>
      </c>
      <c r="D221" s="2" t="s">
        <v>369</v>
      </c>
      <c r="E221" s="2" t="s">
        <v>82</v>
      </c>
      <c r="F221" s="2" t="s">
        <v>82</v>
      </c>
      <c r="G221" s="2" t="s">
        <v>124</v>
      </c>
      <c r="H221" s="2" t="s">
        <v>367</v>
      </c>
      <c r="I221" s="2" t="s">
        <v>133</v>
      </c>
      <c r="J221" s="2" t="s">
        <v>334</v>
      </c>
      <c r="K221" t="b">
        <v>0</v>
      </c>
      <c r="L221" s="2" t="s">
        <v>130</v>
      </c>
    </row>
    <row r="222" spans="1:12" hidden="1" x14ac:dyDescent="0.3">
      <c r="A222" s="2" t="s">
        <v>8</v>
      </c>
      <c r="B222" s="2" t="s">
        <v>332</v>
      </c>
      <c r="C222">
        <v>36</v>
      </c>
      <c r="D222" s="2" t="s">
        <v>370</v>
      </c>
      <c r="E222" s="2" t="s">
        <v>67</v>
      </c>
      <c r="F222" s="2" t="s">
        <v>67</v>
      </c>
      <c r="G222" s="2" t="s">
        <v>124</v>
      </c>
      <c r="H222" s="2" t="s">
        <v>367</v>
      </c>
      <c r="I222" s="2" t="s">
        <v>133</v>
      </c>
      <c r="J222" s="2" t="s">
        <v>334</v>
      </c>
      <c r="K222" t="b">
        <v>0</v>
      </c>
      <c r="L222" s="2" t="s">
        <v>130</v>
      </c>
    </row>
    <row r="223" spans="1:12" hidden="1" x14ac:dyDescent="0.3">
      <c r="A223" s="2" t="s">
        <v>8</v>
      </c>
      <c r="B223" s="2" t="s">
        <v>332</v>
      </c>
      <c r="C223">
        <v>37</v>
      </c>
      <c r="D223" s="2" t="s">
        <v>371</v>
      </c>
      <c r="E223" s="2" t="s">
        <v>83</v>
      </c>
      <c r="F223" s="2" t="s">
        <v>83</v>
      </c>
      <c r="G223" s="2" t="s">
        <v>124</v>
      </c>
      <c r="H223" s="2" t="s">
        <v>367</v>
      </c>
      <c r="I223" s="2" t="s">
        <v>133</v>
      </c>
      <c r="J223" s="2" t="s">
        <v>334</v>
      </c>
      <c r="K223" t="b">
        <v>0</v>
      </c>
      <c r="L223" s="2" t="s">
        <v>130</v>
      </c>
    </row>
    <row r="224" spans="1:12" hidden="1" x14ac:dyDescent="0.3">
      <c r="A224" s="2" t="s">
        <v>8</v>
      </c>
      <c r="B224" s="2" t="s">
        <v>332</v>
      </c>
      <c r="C224">
        <v>38</v>
      </c>
      <c r="D224" s="2" t="s">
        <v>372</v>
      </c>
      <c r="E224" s="2" t="s">
        <v>57</v>
      </c>
      <c r="F224" s="2" t="s">
        <v>57</v>
      </c>
      <c r="G224" s="2" t="s">
        <v>124</v>
      </c>
      <c r="H224" s="2" t="s">
        <v>367</v>
      </c>
      <c r="I224" s="2" t="s">
        <v>133</v>
      </c>
      <c r="J224" s="2" t="s">
        <v>334</v>
      </c>
      <c r="K224" t="b">
        <v>0</v>
      </c>
      <c r="L224" s="2" t="s">
        <v>130</v>
      </c>
    </row>
    <row r="225" spans="1:12" hidden="1" x14ac:dyDescent="0.3">
      <c r="A225" s="2" t="s">
        <v>8</v>
      </c>
      <c r="B225" s="2" t="s">
        <v>332</v>
      </c>
      <c r="C225">
        <v>39</v>
      </c>
      <c r="D225" s="2" t="s">
        <v>373</v>
      </c>
      <c r="E225" s="2" t="s">
        <v>64</v>
      </c>
      <c r="F225" s="2" t="s">
        <v>64</v>
      </c>
      <c r="G225" s="2" t="s">
        <v>124</v>
      </c>
      <c r="H225" s="2" t="s">
        <v>367</v>
      </c>
      <c r="I225" s="2" t="s">
        <v>133</v>
      </c>
      <c r="J225" s="2" t="s">
        <v>334</v>
      </c>
      <c r="K225" t="b">
        <v>0</v>
      </c>
      <c r="L225" s="2" t="s">
        <v>130</v>
      </c>
    </row>
    <row r="226" spans="1:12" hidden="1" x14ac:dyDescent="0.3">
      <c r="A226" s="2" t="s">
        <v>8</v>
      </c>
      <c r="B226" s="2" t="s">
        <v>332</v>
      </c>
      <c r="C226">
        <v>40</v>
      </c>
      <c r="D226" s="2" t="s">
        <v>374</v>
      </c>
      <c r="E226" s="2" t="s">
        <v>54</v>
      </c>
      <c r="F226" s="2" t="s">
        <v>54</v>
      </c>
      <c r="G226" s="2" t="s">
        <v>124</v>
      </c>
      <c r="H226" s="2" t="s">
        <v>367</v>
      </c>
      <c r="I226" s="2" t="s">
        <v>133</v>
      </c>
      <c r="J226" s="2" t="s">
        <v>334</v>
      </c>
      <c r="K226" t="b">
        <v>0</v>
      </c>
      <c r="L226" s="2" t="s">
        <v>130</v>
      </c>
    </row>
    <row r="227" spans="1:12" hidden="1" x14ac:dyDescent="0.3">
      <c r="A227" s="2" t="s">
        <v>8</v>
      </c>
      <c r="B227" s="2" t="s">
        <v>332</v>
      </c>
      <c r="C227">
        <v>41</v>
      </c>
      <c r="D227" s="2" t="s">
        <v>375</v>
      </c>
      <c r="E227" s="2" t="s">
        <v>84</v>
      </c>
      <c r="F227" s="2" t="s">
        <v>84</v>
      </c>
      <c r="G227" s="2" t="s">
        <v>124</v>
      </c>
      <c r="H227" s="2" t="s">
        <v>367</v>
      </c>
      <c r="I227" s="2" t="s">
        <v>133</v>
      </c>
      <c r="J227" s="2" t="s">
        <v>334</v>
      </c>
      <c r="K227" t="b">
        <v>0</v>
      </c>
      <c r="L227" s="2" t="s">
        <v>130</v>
      </c>
    </row>
    <row r="228" spans="1:12" hidden="1" x14ac:dyDescent="0.3">
      <c r="A228" s="2" t="s">
        <v>8</v>
      </c>
      <c r="B228" s="2" t="s">
        <v>332</v>
      </c>
      <c r="C228">
        <v>42</v>
      </c>
      <c r="D228" s="2" t="s">
        <v>376</v>
      </c>
      <c r="E228" s="2" t="s">
        <v>69</v>
      </c>
      <c r="F228" s="2" t="s">
        <v>69</v>
      </c>
      <c r="G228" s="2" t="s">
        <v>124</v>
      </c>
      <c r="H228" s="2" t="s">
        <v>367</v>
      </c>
      <c r="I228" s="2" t="s">
        <v>133</v>
      </c>
      <c r="J228" s="2" t="s">
        <v>334</v>
      </c>
      <c r="K228" t="b">
        <v>0</v>
      </c>
      <c r="L228" s="2" t="s">
        <v>130</v>
      </c>
    </row>
    <row r="229" spans="1:12" hidden="1" x14ac:dyDescent="0.3">
      <c r="A229" s="2" t="s">
        <v>8</v>
      </c>
      <c r="B229" s="2" t="s">
        <v>332</v>
      </c>
      <c r="C229">
        <v>43</v>
      </c>
      <c r="D229" s="2" t="s">
        <v>377</v>
      </c>
      <c r="E229" s="2" t="s">
        <v>119</v>
      </c>
      <c r="F229" s="2" t="s">
        <v>119</v>
      </c>
      <c r="G229" s="2" t="s">
        <v>38</v>
      </c>
      <c r="H229" s="2" t="s">
        <v>158</v>
      </c>
      <c r="I229" s="2" t="s">
        <v>133</v>
      </c>
      <c r="J229" s="2" t="s">
        <v>334</v>
      </c>
      <c r="K229" t="b">
        <v>0</v>
      </c>
      <c r="L229" s="2" t="s">
        <v>130</v>
      </c>
    </row>
    <row r="230" spans="1:12" hidden="1" x14ac:dyDescent="0.3">
      <c r="A230" s="2" t="s">
        <v>8</v>
      </c>
      <c r="B230" s="2" t="s">
        <v>332</v>
      </c>
      <c r="C230">
        <v>44</v>
      </c>
      <c r="D230" s="2" t="s">
        <v>378</v>
      </c>
      <c r="E230" s="2" t="s">
        <v>49</v>
      </c>
      <c r="F230" s="2" t="s">
        <v>49</v>
      </c>
      <c r="G230" s="2" t="s">
        <v>38</v>
      </c>
      <c r="H230" s="2" t="s">
        <v>158</v>
      </c>
      <c r="I230" s="2" t="s">
        <v>133</v>
      </c>
      <c r="J230" s="2" t="s">
        <v>334</v>
      </c>
      <c r="K230" t="b">
        <v>0</v>
      </c>
      <c r="L230" s="2" t="s">
        <v>130</v>
      </c>
    </row>
    <row r="231" spans="1:12" hidden="1" x14ac:dyDescent="0.3">
      <c r="A231" s="2" t="s">
        <v>8</v>
      </c>
      <c r="B231" s="2" t="s">
        <v>332</v>
      </c>
      <c r="C231">
        <v>45</v>
      </c>
      <c r="D231" s="2" t="s">
        <v>379</v>
      </c>
      <c r="E231" s="2" t="s">
        <v>37</v>
      </c>
      <c r="F231" s="2" t="s">
        <v>37</v>
      </c>
      <c r="G231" s="2" t="s">
        <v>38</v>
      </c>
      <c r="H231" s="2" t="s">
        <v>158</v>
      </c>
      <c r="I231" s="2" t="s">
        <v>133</v>
      </c>
      <c r="J231" s="2" t="s">
        <v>334</v>
      </c>
      <c r="K231" t="b">
        <v>0</v>
      </c>
      <c r="L231" s="2" t="s">
        <v>130</v>
      </c>
    </row>
    <row r="232" spans="1:12" hidden="1" x14ac:dyDescent="0.3">
      <c r="A232" s="2" t="s">
        <v>8</v>
      </c>
      <c r="B232" s="2" t="s">
        <v>332</v>
      </c>
      <c r="C232">
        <v>46</v>
      </c>
      <c r="D232" s="2" t="s">
        <v>380</v>
      </c>
      <c r="E232" s="2" t="s">
        <v>40</v>
      </c>
      <c r="F232" s="2" t="s">
        <v>40</v>
      </c>
      <c r="G232" s="2" t="s">
        <v>38</v>
      </c>
      <c r="H232" s="2" t="s">
        <v>158</v>
      </c>
      <c r="I232" s="2" t="s">
        <v>133</v>
      </c>
      <c r="J232" s="2" t="s">
        <v>334</v>
      </c>
      <c r="K232" t="b">
        <v>0</v>
      </c>
      <c r="L232" s="2" t="s">
        <v>130</v>
      </c>
    </row>
    <row r="233" spans="1:12" hidden="1" x14ac:dyDescent="0.3">
      <c r="A233" s="2" t="s">
        <v>8</v>
      </c>
      <c r="B233" s="2" t="s">
        <v>332</v>
      </c>
      <c r="C233">
        <v>47</v>
      </c>
      <c r="D233" s="2" t="s">
        <v>381</v>
      </c>
      <c r="E233" s="2" t="s">
        <v>41</v>
      </c>
      <c r="F233" s="2" t="s">
        <v>41</v>
      </c>
      <c r="G233" s="2" t="s">
        <v>38</v>
      </c>
      <c r="H233" s="2" t="s">
        <v>158</v>
      </c>
      <c r="I233" s="2" t="s">
        <v>133</v>
      </c>
      <c r="J233" s="2" t="s">
        <v>334</v>
      </c>
      <c r="K233" t="b">
        <v>0</v>
      </c>
      <c r="L233" s="2" t="s">
        <v>130</v>
      </c>
    </row>
    <row r="234" spans="1:12" hidden="1" x14ac:dyDescent="0.3">
      <c r="A234" s="2" t="s">
        <v>8</v>
      </c>
      <c r="B234" s="2" t="s">
        <v>332</v>
      </c>
      <c r="C234">
        <v>48</v>
      </c>
      <c r="D234" s="2" t="s">
        <v>382</v>
      </c>
      <c r="E234" s="2" t="s">
        <v>120</v>
      </c>
      <c r="F234" s="2" t="s">
        <v>120</v>
      </c>
      <c r="G234" s="2" t="s">
        <v>38</v>
      </c>
      <c r="H234" s="2" t="s">
        <v>158</v>
      </c>
      <c r="I234" s="2" t="s">
        <v>133</v>
      </c>
      <c r="J234" s="2" t="s">
        <v>334</v>
      </c>
      <c r="K234" t="b">
        <v>0</v>
      </c>
      <c r="L234" s="2" t="s">
        <v>130</v>
      </c>
    </row>
    <row r="235" spans="1:12" hidden="1" x14ac:dyDescent="0.3">
      <c r="A235" s="2" t="s">
        <v>8</v>
      </c>
      <c r="B235" s="2" t="s">
        <v>332</v>
      </c>
      <c r="C235">
        <v>49</v>
      </c>
      <c r="D235" s="2" t="s">
        <v>383</v>
      </c>
      <c r="E235" s="2" t="s">
        <v>39</v>
      </c>
      <c r="F235" s="2" t="s">
        <v>39</v>
      </c>
      <c r="G235" s="2" t="s">
        <v>38</v>
      </c>
      <c r="H235" s="2" t="s">
        <v>158</v>
      </c>
      <c r="I235" s="2" t="s">
        <v>133</v>
      </c>
      <c r="J235" s="2" t="s">
        <v>334</v>
      </c>
      <c r="K235" t="b">
        <v>0</v>
      </c>
      <c r="L235" s="2" t="s">
        <v>130</v>
      </c>
    </row>
    <row r="236" spans="1:12" hidden="1" x14ac:dyDescent="0.3">
      <c r="A236" s="2" t="s">
        <v>8</v>
      </c>
      <c r="B236" s="2" t="s">
        <v>332</v>
      </c>
      <c r="C236">
        <v>50</v>
      </c>
      <c r="D236" s="2" t="s">
        <v>384</v>
      </c>
      <c r="E236" s="2" t="s">
        <v>123</v>
      </c>
      <c r="F236" s="2" t="s">
        <v>123</v>
      </c>
      <c r="G236" s="2" t="s">
        <v>118</v>
      </c>
      <c r="H236" s="2" t="s">
        <v>274</v>
      </c>
      <c r="I236" s="2" t="s">
        <v>133</v>
      </c>
      <c r="J236" s="2" t="s">
        <v>334</v>
      </c>
      <c r="K236" t="b">
        <v>0</v>
      </c>
      <c r="L236" s="2" t="s">
        <v>130</v>
      </c>
    </row>
    <row r="237" spans="1:12" hidden="1" x14ac:dyDescent="0.3">
      <c r="A237" s="2" t="s">
        <v>8</v>
      </c>
      <c r="B237" s="2" t="s">
        <v>332</v>
      </c>
      <c r="C237">
        <v>51</v>
      </c>
      <c r="D237" s="2" t="s">
        <v>385</v>
      </c>
      <c r="E237" s="2" t="s">
        <v>115</v>
      </c>
      <c r="F237" s="2" t="s">
        <v>115</v>
      </c>
      <c r="G237" s="2" t="s">
        <v>118</v>
      </c>
      <c r="H237" s="2" t="s">
        <v>274</v>
      </c>
      <c r="I237" s="2" t="s">
        <v>133</v>
      </c>
      <c r="J237" s="2" t="s">
        <v>334</v>
      </c>
      <c r="K237" t="b">
        <v>0</v>
      </c>
      <c r="L237" s="2" t="s">
        <v>130</v>
      </c>
    </row>
    <row r="238" spans="1:12" hidden="1" x14ac:dyDescent="0.3">
      <c r="A238" s="2" t="s">
        <v>8</v>
      </c>
      <c r="B238" s="2" t="s">
        <v>332</v>
      </c>
      <c r="C238">
        <v>52</v>
      </c>
      <c r="D238" s="2" t="s">
        <v>386</v>
      </c>
      <c r="E238" s="2" t="s">
        <v>116</v>
      </c>
      <c r="F238" s="2" t="s">
        <v>116</v>
      </c>
      <c r="G238" s="2" t="s">
        <v>118</v>
      </c>
      <c r="H238" s="2" t="s">
        <v>274</v>
      </c>
      <c r="I238" s="2" t="s">
        <v>133</v>
      </c>
      <c r="J238" s="2" t="s">
        <v>334</v>
      </c>
      <c r="K238" t="b">
        <v>0</v>
      </c>
      <c r="L238" s="2" t="s">
        <v>130</v>
      </c>
    </row>
    <row r="239" spans="1:12" hidden="1" x14ac:dyDescent="0.3">
      <c r="A239" s="2" t="s">
        <v>8</v>
      </c>
      <c r="B239" s="2" t="s">
        <v>332</v>
      </c>
      <c r="C239">
        <v>53</v>
      </c>
      <c r="D239" s="2" t="s">
        <v>387</v>
      </c>
      <c r="E239" s="2" t="s">
        <v>117</v>
      </c>
      <c r="F239" s="2" t="s">
        <v>117</v>
      </c>
      <c r="G239" s="2" t="s">
        <v>118</v>
      </c>
      <c r="H239" s="2" t="s">
        <v>274</v>
      </c>
      <c r="I239" s="2" t="s">
        <v>133</v>
      </c>
      <c r="J239" s="2" t="s">
        <v>334</v>
      </c>
      <c r="K239" t="b">
        <v>0</v>
      </c>
      <c r="L239" s="2" t="s">
        <v>130</v>
      </c>
    </row>
    <row r="240" spans="1:12" hidden="1" x14ac:dyDescent="0.3">
      <c r="A240" s="2" t="s">
        <v>8</v>
      </c>
      <c r="B240" s="2" t="s">
        <v>332</v>
      </c>
      <c r="C240">
        <v>54</v>
      </c>
      <c r="D240" s="2" t="s">
        <v>388</v>
      </c>
      <c r="E240" s="2" t="s">
        <v>127</v>
      </c>
      <c r="F240" s="2" t="s">
        <v>127</v>
      </c>
      <c r="G240" s="2" t="s">
        <v>85</v>
      </c>
      <c r="H240" s="2" t="s">
        <v>279</v>
      </c>
      <c r="I240" s="2" t="s">
        <v>133</v>
      </c>
      <c r="J240" s="2" t="s">
        <v>334</v>
      </c>
      <c r="K240" t="b">
        <v>0</v>
      </c>
      <c r="L240" s="2" t="s">
        <v>130</v>
      </c>
    </row>
    <row r="241" spans="1:12" hidden="1" x14ac:dyDescent="0.3">
      <c r="A241" s="2" t="s">
        <v>8</v>
      </c>
      <c r="B241" s="2" t="s">
        <v>332</v>
      </c>
      <c r="C241">
        <v>55</v>
      </c>
      <c r="D241" s="2" t="s">
        <v>389</v>
      </c>
      <c r="E241" s="2" t="s">
        <v>128</v>
      </c>
      <c r="F241" s="2" t="s">
        <v>128</v>
      </c>
      <c r="G241" s="2" t="s">
        <v>85</v>
      </c>
      <c r="H241" s="2" t="s">
        <v>279</v>
      </c>
      <c r="I241" s="2" t="s">
        <v>133</v>
      </c>
      <c r="J241" s="2" t="s">
        <v>334</v>
      </c>
      <c r="K241" t="b">
        <v>0</v>
      </c>
      <c r="L241" s="2" t="s">
        <v>130</v>
      </c>
    </row>
    <row r="242" spans="1:12" hidden="1" x14ac:dyDescent="0.3">
      <c r="A242" s="2" t="s">
        <v>8</v>
      </c>
      <c r="B242" s="2" t="s">
        <v>332</v>
      </c>
      <c r="C242">
        <v>56</v>
      </c>
      <c r="D242" s="2" t="s">
        <v>390</v>
      </c>
      <c r="E242" s="2" t="s">
        <v>125</v>
      </c>
      <c r="F242" s="2" t="s">
        <v>125</v>
      </c>
      <c r="G242" s="2" t="s">
        <v>85</v>
      </c>
      <c r="H242" s="2" t="s">
        <v>279</v>
      </c>
      <c r="I242" s="2" t="s">
        <v>133</v>
      </c>
      <c r="J242" s="2" t="s">
        <v>334</v>
      </c>
      <c r="K242" t="b">
        <v>0</v>
      </c>
      <c r="L242" s="2" t="s">
        <v>130</v>
      </c>
    </row>
    <row r="243" spans="1:12" hidden="1" x14ac:dyDescent="0.3">
      <c r="A243" s="2" t="s">
        <v>8</v>
      </c>
      <c r="B243" s="2" t="s">
        <v>332</v>
      </c>
      <c r="C243">
        <v>57</v>
      </c>
      <c r="D243" s="2" t="s">
        <v>391</v>
      </c>
      <c r="E243" s="2" t="s">
        <v>126</v>
      </c>
      <c r="F243" s="2" t="s">
        <v>126</v>
      </c>
      <c r="G243" s="2" t="s">
        <v>85</v>
      </c>
      <c r="H243" s="2" t="s">
        <v>279</v>
      </c>
      <c r="I243" s="2" t="s">
        <v>133</v>
      </c>
      <c r="J243" s="2" t="s">
        <v>334</v>
      </c>
      <c r="K243" t="b">
        <v>0</v>
      </c>
      <c r="L243" s="2" t="s">
        <v>130</v>
      </c>
    </row>
    <row r="244" spans="1:12" hidden="1" x14ac:dyDescent="0.3">
      <c r="A244" s="2" t="s">
        <v>8</v>
      </c>
      <c r="B244" s="2" t="s">
        <v>332</v>
      </c>
      <c r="C244">
        <v>58</v>
      </c>
      <c r="D244" s="2" t="s">
        <v>392</v>
      </c>
      <c r="E244" s="2" t="s">
        <v>129</v>
      </c>
      <c r="F244" s="2" t="s">
        <v>129</v>
      </c>
      <c r="G244" s="2" t="s">
        <v>85</v>
      </c>
      <c r="H244" s="2" t="s">
        <v>279</v>
      </c>
      <c r="I244" s="2" t="s">
        <v>133</v>
      </c>
      <c r="J244" s="2" t="s">
        <v>334</v>
      </c>
      <c r="K244" t="b">
        <v>0</v>
      </c>
      <c r="L244" s="2" t="s">
        <v>130</v>
      </c>
    </row>
    <row r="245" spans="1:12" hidden="1" x14ac:dyDescent="0.3">
      <c r="A245" s="2" t="s">
        <v>8</v>
      </c>
      <c r="B245" s="2" t="s">
        <v>332</v>
      </c>
      <c r="C245">
        <v>59</v>
      </c>
      <c r="D245" s="2" t="s">
        <v>393</v>
      </c>
      <c r="E245" s="2" t="s">
        <v>94</v>
      </c>
      <c r="F245" s="2" t="s">
        <v>94</v>
      </c>
      <c r="G245" s="2" t="s">
        <v>108</v>
      </c>
      <c r="H245" s="2" t="s">
        <v>289</v>
      </c>
      <c r="I245" s="2" t="s">
        <v>133</v>
      </c>
      <c r="J245" s="2" t="s">
        <v>334</v>
      </c>
      <c r="K245" t="b">
        <v>0</v>
      </c>
      <c r="L245" s="2" t="s">
        <v>130</v>
      </c>
    </row>
    <row r="246" spans="1:12" hidden="1" x14ac:dyDescent="0.3">
      <c r="A246" s="2" t="s">
        <v>8</v>
      </c>
      <c r="B246" s="2" t="s">
        <v>332</v>
      </c>
      <c r="C246">
        <v>60</v>
      </c>
      <c r="D246" s="2" t="s">
        <v>394</v>
      </c>
      <c r="E246" s="2" t="s">
        <v>95</v>
      </c>
      <c r="F246" s="2" t="s">
        <v>95</v>
      </c>
      <c r="G246" s="2" t="s">
        <v>108</v>
      </c>
      <c r="H246" s="2" t="s">
        <v>289</v>
      </c>
      <c r="I246" s="2" t="s">
        <v>133</v>
      </c>
      <c r="J246" s="2" t="s">
        <v>334</v>
      </c>
      <c r="K246" t="b">
        <v>0</v>
      </c>
      <c r="L246" s="2" t="s">
        <v>130</v>
      </c>
    </row>
    <row r="247" spans="1:12" hidden="1" x14ac:dyDescent="0.3">
      <c r="A247" s="2" t="s">
        <v>8</v>
      </c>
      <c r="B247" s="2" t="s">
        <v>332</v>
      </c>
      <c r="C247">
        <v>61</v>
      </c>
      <c r="D247" s="2" t="s">
        <v>395</v>
      </c>
      <c r="E247" s="2" t="s">
        <v>96</v>
      </c>
      <c r="F247" s="2" t="s">
        <v>96</v>
      </c>
      <c r="G247" s="2" t="s">
        <v>108</v>
      </c>
      <c r="H247" s="2" t="s">
        <v>289</v>
      </c>
      <c r="I247" s="2" t="s">
        <v>133</v>
      </c>
      <c r="J247" s="2" t="s">
        <v>334</v>
      </c>
      <c r="K247" t="b">
        <v>0</v>
      </c>
      <c r="L247" s="2" t="s">
        <v>130</v>
      </c>
    </row>
    <row r="248" spans="1:12" hidden="1" x14ac:dyDescent="0.3">
      <c r="A248" s="2" t="s">
        <v>8</v>
      </c>
      <c r="B248" s="2" t="s">
        <v>332</v>
      </c>
      <c r="C248">
        <v>62</v>
      </c>
      <c r="D248" s="2" t="s">
        <v>396</v>
      </c>
      <c r="E248" s="2" t="s">
        <v>86</v>
      </c>
      <c r="F248" s="2" t="s">
        <v>86</v>
      </c>
      <c r="G248" s="2" t="s">
        <v>108</v>
      </c>
      <c r="H248" s="2" t="s">
        <v>289</v>
      </c>
      <c r="I248" s="2" t="s">
        <v>133</v>
      </c>
      <c r="J248" s="2" t="s">
        <v>334</v>
      </c>
      <c r="K248" t="b">
        <v>0</v>
      </c>
      <c r="L248" s="2" t="s">
        <v>130</v>
      </c>
    </row>
    <row r="249" spans="1:12" hidden="1" x14ac:dyDescent="0.3">
      <c r="A249" s="2" t="s">
        <v>8</v>
      </c>
      <c r="B249" s="2" t="s">
        <v>332</v>
      </c>
      <c r="C249">
        <v>63</v>
      </c>
      <c r="D249" s="2" t="s">
        <v>397</v>
      </c>
      <c r="E249" s="2" t="s">
        <v>87</v>
      </c>
      <c r="F249" s="2" t="s">
        <v>87</v>
      </c>
      <c r="G249" s="2" t="s">
        <v>108</v>
      </c>
      <c r="H249" s="2" t="s">
        <v>289</v>
      </c>
      <c r="I249" s="2" t="s">
        <v>133</v>
      </c>
      <c r="J249" s="2" t="s">
        <v>334</v>
      </c>
      <c r="K249" t="b">
        <v>0</v>
      </c>
      <c r="L249" s="2" t="s">
        <v>130</v>
      </c>
    </row>
    <row r="250" spans="1:12" hidden="1" x14ac:dyDescent="0.3">
      <c r="A250" s="2" t="s">
        <v>8</v>
      </c>
      <c r="B250" s="2" t="s">
        <v>332</v>
      </c>
      <c r="C250">
        <v>64</v>
      </c>
      <c r="D250" s="2" t="s">
        <v>398</v>
      </c>
      <c r="E250" s="2" t="s">
        <v>97</v>
      </c>
      <c r="F250" s="2" t="s">
        <v>97</v>
      </c>
      <c r="G250" s="2" t="s">
        <v>108</v>
      </c>
      <c r="H250" s="2" t="s">
        <v>289</v>
      </c>
      <c r="I250" s="2" t="s">
        <v>133</v>
      </c>
      <c r="J250" s="2" t="s">
        <v>334</v>
      </c>
      <c r="K250" t="b">
        <v>0</v>
      </c>
      <c r="L250" s="2" t="s">
        <v>130</v>
      </c>
    </row>
    <row r="251" spans="1:12" hidden="1" x14ac:dyDescent="0.3">
      <c r="A251" s="2" t="s">
        <v>8</v>
      </c>
      <c r="B251" s="2" t="s">
        <v>332</v>
      </c>
      <c r="C251">
        <v>65</v>
      </c>
      <c r="D251" s="2" t="s">
        <v>399</v>
      </c>
      <c r="E251" s="2" t="s">
        <v>98</v>
      </c>
      <c r="F251" s="2" t="s">
        <v>98</v>
      </c>
      <c r="G251" s="2" t="s">
        <v>108</v>
      </c>
      <c r="H251" s="2" t="s">
        <v>289</v>
      </c>
      <c r="I251" s="2" t="s">
        <v>133</v>
      </c>
      <c r="J251" s="2" t="s">
        <v>334</v>
      </c>
      <c r="K251" t="b">
        <v>0</v>
      </c>
      <c r="L251" s="2" t="s">
        <v>130</v>
      </c>
    </row>
    <row r="252" spans="1:12" hidden="1" x14ac:dyDescent="0.3">
      <c r="A252" s="2" t="s">
        <v>8</v>
      </c>
      <c r="B252" s="2" t="s">
        <v>332</v>
      </c>
      <c r="C252">
        <v>66</v>
      </c>
      <c r="D252" s="2" t="s">
        <v>400</v>
      </c>
      <c r="E252" s="2" t="s">
        <v>88</v>
      </c>
      <c r="F252" s="2" t="s">
        <v>88</v>
      </c>
      <c r="G252" s="2" t="s">
        <v>108</v>
      </c>
      <c r="H252" s="2" t="s">
        <v>289</v>
      </c>
      <c r="I252" s="2" t="s">
        <v>133</v>
      </c>
      <c r="J252" s="2" t="s">
        <v>334</v>
      </c>
      <c r="K252" t="b">
        <v>0</v>
      </c>
      <c r="L252" s="2" t="s">
        <v>130</v>
      </c>
    </row>
    <row r="253" spans="1:12" hidden="1" x14ac:dyDescent="0.3">
      <c r="A253" s="2" t="s">
        <v>8</v>
      </c>
      <c r="B253" s="2" t="s">
        <v>332</v>
      </c>
      <c r="C253">
        <v>67</v>
      </c>
      <c r="D253" s="2" t="s">
        <v>401</v>
      </c>
      <c r="E253" s="2" t="s">
        <v>89</v>
      </c>
      <c r="F253" s="2" t="s">
        <v>89</v>
      </c>
      <c r="G253" s="2" t="s">
        <v>108</v>
      </c>
      <c r="H253" s="2" t="s">
        <v>289</v>
      </c>
      <c r="I253" s="2" t="s">
        <v>133</v>
      </c>
      <c r="J253" s="2" t="s">
        <v>334</v>
      </c>
      <c r="K253" t="b">
        <v>0</v>
      </c>
      <c r="L253" s="2" t="s">
        <v>130</v>
      </c>
    </row>
    <row r="254" spans="1:12" hidden="1" x14ac:dyDescent="0.3">
      <c r="A254" s="2" t="s">
        <v>8</v>
      </c>
      <c r="B254" s="2" t="s">
        <v>332</v>
      </c>
      <c r="C254">
        <v>68</v>
      </c>
      <c r="D254" s="2" t="s">
        <v>402</v>
      </c>
      <c r="E254" s="2" t="s">
        <v>89</v>
      </c>
      <c r="F254" s="2" t="s">
        <v>89</v>
      </c>
      <c r="G254" s="2" t="s">
        <v>108</v>
      </c>
      <c r="H254" s="2" t="s">
        <v>289</v>
      </c>
      <c r="I254" s="2" t="s">
        <v>133</v>
      </c>
      <c r="J254" s="2" t="s">
        <v>334</v>
      </c>
      <c r="K254" t="b">
        <v>0</v>
      </c>
      <c r="L254" s="2" t="s">
        <v>130</v>
      </c>
    </row>
    <row r="255" spans="1:12" hidden="1" x14ac:dyDescent="0.3">
      <c r="A255" s="2" t="s">
        <v>8</v>
      </c>
      <c r="B255" s="2" t="s">
        <v>332</v>
      </c>
      <c r="C255">
        <v>69</v>
      </c>
      <c r="D255" s="2" t="s">
        <v>403</v>
      </c>
      <c r="E255" s="2" t="s">
        <v>100</v>
      </c>
      <c r="F255" s="2" t="s">
        <v>100</v>
      </c>
      <c r="G255" s="2" t="s">
        <v>108</v>
      </c>
      <c r="H255" s="2" t="s">
        <v>289</v>
      </c>
      <c r="I255" s="2" t="s">
        <v>133</v>
      </c>
      <c r="J255" s="2" t="s">
        <v>334</v>
      </c>
      <c r="K255" t="b">
        <v>0</v>
      </c>
      <c r="L255" s="2" t="s">
        <v>130</v>
      </c>
    </row>
    <row r="256" spans="1:12" hidden="1" x14ac:dyDescent="0.3">
      <c r="A256" s="2" t="s">
        <v>8</v>
      </c>
      <c r="B256" s="2" t="s">
        <v>332</v>
      </c>
      <c r="C256">
        <v>70</v>
      </c>
      <c r="D256" s="2" t="s">
        <v>404</v>
      </c>
      <c r="E256" s="2" t="s">
        <v>99</v>
      </c>
      <c r="F256" s="2" t="s">
        <v>99</v>
      </c>
      <c r="G256" s="2" t="s">
        <v>108</v>
      </c>
      <c r="H256" s="2" t="s">
        <v>289</v>
      </c>
      <c r="I256" s="2" t="s">
        <v>133</v>
      </c>
      <c r="J256" s="2" t="s">
        <v>334</v>
      </c>
      <c r="K256" t="b">
        <v>0</v>
      </c>
      <c r="L256" s="2" t="s">
        <v>130</v>
      </c>
    </row>
    <row r="257" spans="1:12" hidden="1" x14ac:dyDescent="0.3">
      <c r="A257" s="2" t="s">
        <v>8</v>
      </c>
      <c r="B257" s="2" t="s">
        <v>332</v>
      </c>
      <c r="C257">
        <v>71</v>
      </c>
      <c r="D257" s="2" t="s">
        <v>405</v>
      </c>
      <c r="E257" s="2" t="s">
        <v>90</v>
      </c>
      <c r="F257" s="2" t="s">
        <v>90</v>
      </c>
      <c r="G257" s="2" t="s">
        <v>108</v>
      </c>
      <c r="H257" s="2" t="s">
        <v>289</v>
      </c>
      <c r="I257" s="2" t="s">
        <v>133</v>
      </c>
      <c r="J257" s="2" t="s">
        <v>334</v>
      </c>
      <c r="K257" t="b">
        <v>0</v>
      </c>
      <c r="L257" s="2" t="s">
        <v>130</v>
      </c>
    </row>
    <row r="258" spans="1:12" hidden="1" x14ac:dyDescent="0.3">
      <c r="A258" s="2" t="s">
        <v>8</v>
      </c>
      <c r="B258" s="2" t="s">
        <v>332</v>
      </c>
      <c r="C258">
        <v>72</v>
      </c>
      <c r="D258" s="2" t="s">
        <v>406</v>
      </c>
      <c r="E258" s="2" t="s">
        <v>101</v>
      </c>
      <c r="F258" s="2" t="s">
        <v>101</v>
      </c>
      <c r="G258" s="2" t="s">
        <v>108</v>
      </c>
      <c r="H258" s="2" t="s">
        <v>289</v>
      </c>
      <c r="I258" s="2" t="s">
        <v>133</v>
      </c>
      <c r="J258" s="2" t="s">
        <v>334</v>
      </c>
      <c r="K258" t="b">
        <v>0</v>
      </c>
      <c r="L258" s="2" t="s">
        <v>130</v>
      </c>
    </row>
    <row r="259" spans="1:12" hidden="1" x14ac:dyDescent="0.3">
      <c r="A259" s="2" t="s">
        <v>8</v>
      </c>
      <c r="B259" s="2" t="s">
        <v>332</v>
      </c>
      <c r="C259">
        <v>73</v>
      </c>
      <c r="D259" s="2" t="s">
        <v>407</v>
      </c>
      <c r="E259" s="2" t="s">
        <v>102</v>
      </c>
      <c r="F259" s="2" t="s">
        <v>102</v>
      </c>
      <c r="G259" s="2" t="s">
        <v>108</v>
      </c>
      <c r="H259" s="2" t="s">
        <v>289</v>
      </c>
      <c r="I259" s="2" t="s">
        <v>133</v>
      </c>
      <c r="J259" s="2" t="s">
        <v>334</v>
      </c>
      <c r="K259" t="b">
        <v>0</v>
      </c>
      <c r="L259" s="2" t="s">
        <v>130</v>
      </c>
    </row>
    <row r="260" spans="1:12" hidden="1" x14ac:dyDescent="0.3">
      <c r="A260" s="2" t="s">
        <v>8</v>
      </c>
      <c r="B260" s="2" t="s">
        <v>332</v>
      </c>
      <c r="C260">
        <v>74</v>
      </c>
      <c r="D260" s="2" t="s">
        <v>408</v>
      </c>
      <c r="E260" s="2" t="s">
        <v>103</v>
      </c>
      <c r="F260" s="2" t="s">
        <v>103</v>
      </c>
      <c r="G260" s="2" t="s">
        <v>108</v>
      </c>
      <c r="H260" s="2" t="s">
        <v>289</v>
      </c>
      <c r="I260" s="2" t="s">
        <v>133</v>
      </c>
      <c r="J260" s="2" t="s">
        <v>334</v>
      </c>
      <c r="K260" t="b">
        <v>0</v>
      </c>
      <c r="L260" s="2" t="s">
        <v>130</v>
      </c>
    </row>
    <row r="261" spans="1:12" hidden="1" x14ac:dyDescent="0.3">
      <c r="A261" s="2" t="s">
        <v>8</v>
      </c>
      <c r="B261" s="2" t="s">
        <v>332</v>
      </c>
      <c r="C261">
        <v>75</v>
      </c>
      <c r="D261" s="2" t="s">
        <v>409</v>
      </c>
      <c r="E261" s="2" t="s">
        <v>104</v>
      </c>
      <c r="F261" s="2" t="s">
        <v>104</v>
      </c>
      <c r="G261" s="2" t="s">
        <v>108</v>
      </c>
      <c r="H261" s="2" t="s">
        <v>289</v>
      </c>
      <c r="I261" s="2" t="s">
        <v>133</v>
      </c>
      <c r="J261" s="2" t="s">
        <v>334</v>
      </c>
      <c r="K261" t="b">
        <v>0</v>
      </c>
      <c r="L261" s="2" t="s">
        <v>130</v>
      </c>
    </row>
    <row r="262" spans="1:12" hidden="1" x14ac:dyDescent="0.3">
      <c r="A262" s="2" t="s">
        <v>8</v>
      </c>
      <c r="B262" s="2" t="s">
        <v>332</v>
      </c>
      <c r="C262">
        <v>76</v>
      </c>
      <c r="D262" s="2" t="s">
        <v>410</v>
      </c>
      <c r="E262" s="2" t="s">
        <v>105</v>
      </c>
      <c r="F262" s="2" t="s">
        <v>105</v>
      </c>
      <c r="G262" s="2" t="s">
        <v>108</v>
      </c>
      <c r="H262" s="2" t="s">
        <v>289</v>
      </c>
      <c r="I262" s="2" t="s">
        <v>133</v>
      </c>
      <c r="J262" s="2" t="s">
        <v>334</v>
      </c>
      <c r="K262" t="b">
        <v>0</v>
      </c>
      <c r="L262" s="2" t="s">
        <v>130</v>
      </c>
    </row>
    <row r="263" spans="1:12" hidden="1" x14ac:dyDescent="0.3">
      <c r="A263" s="2" t="s">
        <v>8</v>
      </c>
      <c r="B263" s="2" t="s">
        <v>332</v>
      </c>
      <c r="C263">
        <v>77</v>
      </c>
      <c r="D263" s="2" t="s">
        <v>411</v>
      </c>
      <c r="E263" s="2" t="s">
        <v>91</v>
      </c>
      <c r="F263" s="2" t="s">
        <v>91</v>
      </c>
      <c r="G263" s="2" t="s">
        <v>108</v>
      </c>
      <c r="H263" s="2" t="s">
        <v>289</v>
      </c>
      <c r="I263" s="2" t="s">
        <v>133</v>
      </c>
      <c r="J263" s="2" t="s">
        <v>334</v>
      </c>
      <c r="K263" t="b">
        <v>0</v>
      </c>
      <c r="L263" s="2" t="s">
        <v>130</v>
      </c>
    </row>
    <row r="264" spans="1:12" hidden="1" x14ac:dyDescent="0.3">
      <c r="A264" s="2" t="s">
        <v>8</v>
      </c>
      <c r="B264" s="2" t="s">
        <v>332</v>
      </c>
      <c r="C264">
        <v>78</v>
      </c>
      <c r="D264" s="2" t="s">
        <v>412</v>
      </c>
      <c r="E264" s="2" t="s">
        <v>91</v>
      </c>
      <c r="F264" s="2" t="s">
        <v>91</v>
      </c>
      <c r="G264" s="2" t="s">
        <v>108</v>
      </c>
      <c r="H264" s="2" t="s">
        <v>289</v>
      </c>
      <c r="I264" s="2" t="s">
        <v>133</v>
      </c>
      <c r="J264" s="2" t="s">
        <v>334</v>
      </c>
      <c r="K264" t="b">
        <v>0</v>
      </c>
      <c r="L264" s="2" t="s">
        <v>130</v>
      </c>
    </row>
    <row r="265" spans="1:12" hidden="1" x14ac:dyDescent="0.3">
      <c r="A265" s="2" t="s">
        <v>8</v>
      </c>
      <c r="B265" s="2" t="s">
        <v>332</v>
      </c>
      <c r="C265">
        <v>79</v>
      </c>
      <c r="D265" s="2" t="s">
        <v>413</v>
      </c>
      <c r="E265" s="2" t="s">
        <v>92</v>
      </c>
      <c r="F265" s="2" t="s">
        <v>92</v>
      </c>
      <c r="G265" s="2" t="s">
        <v>108</v>
      </c>
      <c r="H265" s="2" t="s">
        <v>289</v>
      </c>
      <c r="I265" s="2" t="s">
        <v>133</v>
      </c>
      <c r="J265" s="2" t="s">
        <v>334</v>
      </c>
      <c r="K265" t="b">
        <v>0</v>
      </c>
      <c r="L265" s="2" t="s">
        <v>130</v>
      </c>
    </row>
    <row r="266" spans="1:12" hidden="1" x14ac:dyDescent="0.3">
      <c r="A266" s="2" t="s">
        <v>8</v>
      </c>
      <c r="B266" s="2" t="s">
        <v>332</v>
      </c>
      <c r="C266">
        <v>80</v>
      </c>
      <c r="D266" s="2" t="s">
        <v>414</v>
      </c>
      <c r="E266" s="2" t="s">
        <v>93</v>
      </c>
      <c r="F266" s="2" t="s">
        <v>93</v>
      </c>
      <c r="G266" s="2" t="s">
        <v>108</v>
      </c>
      <c r="H266" s="2" t="s">
        <v>289</v>
      </c>
      <c r="I266" s="2" t="s">
        <v>133</v>
      </c>
      <c r="J266" s="2" t="s">
        <v>334</v>
      </c>
      <c r="K266" t="b">
        <v>0</v>
      </c>
      <c r="L266" s="2" t="s">
        <v>130</v>
      </c>
    </row>
    <row r="267" spans="1:12" hidden="1" x14ac:dyDescent="0.3">
      <c r="A267" s="2" t="s">
        <v>8</v>
      </c>
      <c r="B267" s="2" t="s">
        <v>332</v>
      </c>
      <c r="C267">
        <v>81</v>
      </c>
      <c r="D267" s="2" t="s">
        <v>415</v>
      </c>
      <c r="E267" s="2" t="s">
        <v>106</v>
      </c>
      <c r="F267" s="2" t="s">
        <v>106</v>
      </c>
      <c r="G267" s="2" t="s">
        <v>108</v>
      </c>
      <c r="H267" s="2" t="s">
        <v>289</v>
      </c>
      <c r="I267" s="2" t="s">
        <v>133</v>
      </c>
      <c r="J267" s="2" t="s">
        <v>334</v>
      </c>
      <c r="K267" t="b">
        <v>0</v>
      </c>
      <c r="L267" s="2" t="s">
        <v>130</v>
      </c>
    </row>
    <row r="268" spans="1:12" hidden="1" x14ac:dyDescent="0.3">
      <c r="A268" s="2" t="s">
        <v>8</v>
      </c>
      <c r="B268" s="2" t="s">
        <v>332</v>
      </c>
      <c r="C268">
        <v>82</v>
      </c>
      <c r="D268" s="2" t="s">
        <v>416</v>
      </c>
      <c r="E268" s="2" t="s">
        <v>107</v>
      </c>
      <c r="F268" s="2" t="s">
        <v>107</v>
      </c>
      <c r="G268" s="2" t="s">
        <v>108</v>
      </c>
      <c r="H268" s="2" t="s">
        <v>289</v>
      </c>
      <c r="I268" s="2" t="s">
        <v>133</v>
      </c>
      <c r="J268" s="2" t="s">
        <v>334</v>
      </c>
      <c r="K268" t="b">
        <v>0</v>
      </c>
      <c r="L268" s="2" t="s">
        <v>130</v>
      </c>
    </row>
    <row r="269" spans="1:12" hidden="1" x14ac:dyDescent="0.3">
      <c r="A269" s="2" t="s">
        <v>8</v>
      </c>
      <c r="B269" s="2" t="s">
        <v>332</v>
      </c>
      <c r="C269">
        <v>83</v>
      </c>
      <c r="D269" s="2" t="s">
        <v>417</v>
      </c>
      <c r="E269" s="2" t="s">
        <v>73</v>
      </c>
      <c r="F269" s="2" t="s">
        <v>73</v>
      </c>
      <c r="G269" s="2" t="s">
        <v>74</v>
      </c>
      <c r="H269" s="2" t="s">
        <v>320</v>
      </c>
      <c r="I269" s="2" t="s">
        <v>133</v>
      </c>
      <c r="J269" s="2" t="s">
        <v>334</v>
      </c>
      <c r="K269" t="b">
        <v>0</v>
      </c>
      <c r="L269" s="2" t="s">
        <v>130</v>
      </c>
    </row>
    <row r="270" spans="1:12" hidden="1" x14ac:dyDescent="0.3">
      <c r="A270" s="2" t="s">
        <v>8</v>
      </c>
      <c r="B270" s="2" t="s">
        <v>332</v>
      </c>
      <c r="C270">
        <v>84</v>
      </c>
      <c r="D270" s="2" t="s">
        <v>418</v>
      </c>
      <c r="E270" s="2" t="s">
        <v>75</v>
      </c>
      <c r="F270" s="2" t="s">
        <v>75</v>
      </c>
      <c r="G270" s="2" t="s">
        <v>74</v>
      </c>
      <c r="H270" s="2" t="s">
        <v>320</v>
      </c>
      <c r="I270" s="2" t="s">
        <v>133</v>
      </c>
      <c r="J270" s="2" t="s">
        <v>334</v>
      </c>
      <c r="K270" t="b">
        <v>0</v>
      </c>
      <c r="L270" s="2" t="s">
        <v>130</v>
      </c>
    </row>
    <row r="271" spans="1:12" hidden="1" x14ac:dyDescent="0.3">
      <c r="A271" s="2" t="s">
        <v>8</v>
      </c>
      <c r="B271" s="2" t="s">
        <v>332</v>
      </c>
      <c r="C271">
        <v>85</v>
      </c>
      <c r="D271" s="2" t="s">
        <v>419</v>
      </c>
      <c r="E271" s="2" t="s">
        <v>76</v>
      </c>
      <c r="F271" s="2" t="s">
        <v>76</v>
      </c>
      <c r="G271" s="2" t="s">
        <v>74</v>
      </c>
      <c r="H271" s="2" t="s">
        <v>320</v>
      </c>
      <c r="I271" s="2" t="s">
        <v>133</v>
      </c>
      <c r="J271" s="2" t="s">
        <v>334</v>
      </c>
      <c r="K271" t="b">
        <v>0</v>
      </c>
      <c r="L271" s="2" t="s">
        <v>130</v>
      </c>
    </row>
    <row r="272" spans="1:12" hidden="1" x14ac:dyDescent="0.3">
      <c r="A272" s="2" t="s">
        <v>8</v>
      </c>
      <c r="B272" s="2" t="s">
        <v>332</v>
      </c>
      <c r="C272">
        <v>86</v>
      </c>
      <c r="D272" s="2" t="s">
        <v>420</v>
      </c>
      <c r="E272" s="2" t="s">
        <v>78</v>
      </c>
      <c r="F272" s="2" t="s">
        <v>78</v>
      </c>
      <c r="G272" s="2" t="s">
        <v>80</v>
      </c>
      <c r="H272" s="2" t="s">
        <v>324</v>
      </c>
      <c r="I272" s="2" t="s">
        <v>133</v>
      </c>
      <c r="J272" s="2" t="s">
        <v>334</v>
      </c>
      <c r="K272" t="b">
        <v>0</v>
      </c>
      <c r="L272" s="2" t="s">
        <v>130</v>
      </c>
    </row>
    <row r="273" spans="1:12" hidden="1" x14ac:dyDescent="0.3">
      <c r="A273" s="2" t="s">
        <v>8</v>
      </c>
      <c r="B273" s="2" t="s">
        <v>332</v>
      </c>
      <c r="C273">
        <v>87</v>
      </c>
      <c r="D273" s="2" t="s">
        <v>421</v>
      </c>
      <c r="E273" s="2" t="s">
        <v>79</v>
      </c>
      <c r="F273" s="2" t="s">
        <v>79</v>
      </c>
      <c r="G273" s="2" t="s">
        <v>80</v>
      </c>
      <c r="H273" s="2" t="s">
        <v>324</v>
      </c>
      <c r="I273" s="2" t="s">
        <v>133</v>
      </c>
      <c r="J273" s="2" t="s">
        <v>334</v>
      </c>
      <c r="K273" t="b">
        <v>0</v>
      </c>
      <c r="L273" s="2" t="s">
        <v>130</v>
      </c>
    </row>
    <row r="274" spans="1:12" hidden="1" x14ac:dyDescent="0.3">
      <c r="A274" s="2" t="s">
        <v>8</v>
      </c>
      <c r="B274" s="2" t="s">
        <v>332</v>
      </c>
      <c r="C274">
        <v>88</v>
      </c>
      <c r="D274" s="2" t="s">
        <v>422</v>
      </c>
      <c r="E274" s="2" t="s">
        <v>11</v>
      </c>
      <c r="F274" s="2" t="s">
        <v>11</v>
      </c>
      <c r="G274" s="2" t="s">
        <v>80</v>
      </c>
      <c r="H274" s="2" t="s">
        <v>324</v>
      </c>
      <c r="I274" s="2" t="s">
        <v>133</v>
      </c>
      <c r="J274" s="2" t="s">
        <v>334</v>
      </c>
      <c r="K274" t="b">
        <v>0</v>
      </c>
      <c r="L274" s="2" t="s">
        <v>130</v>
      </c>
    </row>
    <row r="275" spans="1:12" hidden="1" x14ac:dyDescent="0.3">
      <c r="A275" s="2" t="s">
        <v>8</v>
      </c>
      <c r="B275" s="2" t="s">
        <v>332</v>
      </c>
      <c r="C275">
        <v>89</v>
      </c>
      <c r="D275" s="2" t="s">
        <v>423</v>
      </c>
      <c r="E275" s="2" t="s">
        <v>25</v>
      </c>
      <c r="F275" s="2" t="s">
        <v>25</v>
      </c>
      <c r="G275" s="2" t="s">
        <v>80</v>
      </c>
      <c r="H275" s="2" t="s">
        <v>324</v>
      </c>
      <c r="I275" s="2" t="s">
        <v>133</v>
      </c>
      <c r="J275" s="2" t="s">
        <v>334</v>
      </c>
      <c r="K275" t="b">
        <v>0</v>
      </c>
      <c r="L275" s="2" t="s">
        <v>130</v>
      </c>
    </row>
    <row r="276" spans="1:12" hidden="1" x14ac:dyDescent="0.3">
      <c r="A276" s="2" t="s">
        <v>8</v>
      </c>
      <c r="B276" s="2" t="s">
        <v>332</v>
      </c>
      <c r="C276">
        <v>90</v>
      </c>
      <c r="D276" s="2" t="s">
        <v>424</v>
      </c>
      <c r="E276" s="2" t="s">
        <v>26</v>
      </c>
      <c r="F276" s="2" t="s">
        <v>26</v>
      </c>
      <c r="G276" s="2" t="s">
        <v>80</v>
      </c>
      <c r="H276" s="2" t="s">
        <v>324</v>
      </c>
      <c r="I276" s="2" t="s">
        <v>133</v>
      </c>
      <c r="J276" s="2" t="s">
        <v>334</v>
      </c>
      <c r="K276" t="b">
        <v>0</v>
      </c>
      <c r="L276" s="2" t="s">
        <v>130</v>
      </c>
    </row>
    <row r="277" spans="1:12" hidden="1" x14ac:dyDescent="0.3">
      <c r="A277" s="2" t="s">
        <v>8</v>
      </c>
      <c r="B277" s="2" t="s">
        <v>332</v>
      </c>
      <c r="C277">
        <v>91</v>
      </c>
      <c r="D277" s="2" t="s">
        <v>425</v>
      </c>
      <c r="E277" s="2" t="s">
        <v>27</v>
      </c>
      <c r="F277" s="2" t="s">
        <v>27</v>
      </c>
      <c r="G277" s="2" t="s">
        <v>80</v>
      </c>
      <c r="H277" s="2" t="s">
        <v>324</v>
      </c>
      <c r="I277" s="2" t="s">
        <v>133</v>
      </c>
      <c r="J277" s="2" t="s">
        <v>334</v>
      </c>
      <c r="K277" t="b">
        <v>0</v>
      </c>
      <c r="L277" s="2" t="s">
        <v>130</v>
      </c>
    </row>
    <row r="278" spans="1:12" hidden="1" x14ac:dyDescent="0.3">
      <c r="A278" s="2" t="s">
        <v>8</v>
      </c>
      <c r="B278" s="2" t="s">
        <v>332</v>
      </c>
      <c r="C278">
        <v>92</v>
      </c>
      <c r="D278" s="2" t="s">
        <v>426</v>
      </c>
      <c r="E278" s="2" t="s">
        <v>47</v>
      </c>
      <c r="F278" s="2" t="s">
        <v>47</v>
      </c>
      <c r="G278" s="2" t="s">
        <v>80</v>
      </c>
      <c r="H278" s="2" t="s">
        <v>324</v>
      </c>
      <c r="I278" s="2" t="s">
        <v>133</v>
      </c>
      <c r="J278" s="2" t="s">
        <v>334</v>
      </c>
      <c r="K278" t="b">
        <v>0</v>
      </c>
      <c r="L278" s="2" t="s">
        <v>130</v>
      </c>
    </row>
    <row r="279" spans="1:12" hidden="1" x14ac:dyDescent="0.3">
      <c r="A279" s="2" t="s">
        <v>8</v>
      </c>
      <c r="B279" s="2" t="s">
        <v>332</v>
      </c>
      <c r="C279">
        <v>93</v>
      </c>
      <c r="D279" s="2" t="s">
        <v>427</v>
      </c>
      <c r="E279" s="2" t="s">
        <v>122</v>
      </c>
      <c r="F279" s="2" t="s">
        <v>122</v>
      </c>
      <c r="G279" s="2" t="s">
        <v>80</v>
      </c>
      <c r="H279" s="2" t="s">
        <v>324</v>
      </c>
      <c r="I279" s="2" t="s">
        <v>133</v>
      </c>
      <c r="J279" s="2" t="s">
        <v>334</v>
      </c>
      <c r="K279" t="b">
        <v>0</v>
      </c>
      <c r="L279" s="2" t="s">
        <v>130</v>
      </c>
    </row>
    <row r="280" spans="1:12" hidden="1" x14ac:dyDescent="0.3">
      <c r="A280" s="2" t="s">
        <v>8</v>
      </c>
      <c r="B280" s="2" t="s">
        <v>332</v>
      </c>
      <c r="C280">
        <v>94</v>
      </c>
      <c r="D280" s="2" t="s">
        <v>428</v>
      </c>
      <c r="E280" s="2" t="s">
        <v>24</v>
      </c>
      <c r="F280" s="2" t="s">
        <v>24</v>
      </c>
      <c r="G280" s="2" t="s">
        <v>80</v>
      </c>
      <c r="H280" s="2" t="s">
        <v>324</v>
      </c>
      <c r="I280" s="2" t="s">
        <v>133</v>
      </c>
      <c r="J280" s="2" t="s">
        <v>334</v>
      </c>
      <c r="K280" t="b">
        <v>0</v>
      </c>
      <c r="L280" s="2" t="s">
        <v>130</v>
      </c>
    </row>
    <row r="281" spans="1:12" hidden="1" x14ac:dyDescent="0.3">
      <c r="A281" s="2" t="s">
        <v>8</v>
      </c>
      <c r="B281" s="2"/>
      <c r="D281" s="2" t="s">
        <v>429</v>
      </c>
      <c r="E281" s="2"/>
      <c r="F281" s="2" t="s">
        <v>430</v>
      </c>
      <c r="G281" s="2"/>
      <c r="H281" s="2"/>
      <c r="I281" s="2" t="s">
        <v>133</v>
      </c>
      <c r="J281" s="2"/>
      <c r="K281" t="b">
        <v>0</v>
      </c>
      <c r="L281" s="2" t="s">
        <v>130</v>
      </c>
    </row>
    <row r="282" spans="1:12" hidden="1" x14ac:dyDescent="0.3">
      <c r="A282" s="2" t="s">
        <v>8</v>
      </c>
      <c r="B282" s="2"/>
      <c r="D282" s="2" t="s">
        <v>429</v>
      </c>
      <c r="E282" s="2"/>
      <c r="F282" s="2" t="s">
        <v>430</v>
      </c>
      <c r="G282" s="2"/>
      <c r="H282" s="2"/>
      <c r="I282" s="2" t="s">
        <v>133</v>
      </c>
      <c r="J282" s="2"/>
      <c r="K282" t="b">
        <v>0</v>
      </c>
      <c r="L282" s="2" t="s">
        <v>130</v>
      </c>
    </row>
    <row r="283" spans="1:12" hidden="1" x14ac:dyDescent="0.3">
      <c r="A283" s="2" t="s">
        <v>8</v>
      </c>
      <c r="B283" s="2"/>
      <c r="D283" s="2" t="s">
        <v>429</v>
      </c>
      <c r="E283" s="2"/>
      <c r="F283" s="2" t="s">
        <v>430</v>
      </c>
      <c r="G283" s="2"/>
      <c r="H283" s="2"/>
      <c r="I283" s="2" t="s">
        <v>133</v>
      </c>
      <c r="J283" s="2"/>
      <c r="K283" t="b">
        <v>0</v>
      </c>
      <c r="L283" s="2" t="s">
        <v>130</v>
      </c>
    </row>
    <row r="284" spans="1:12" hidden="1" x14ac:dyDescent="0.3">
      <c r="A284" s="2" t="s">
        <v>8</v>
      </c>
      <c r="B284" s="2"/>
      <c r="D284" s="2" t="s">
        <v>429</v>
      </c>
      <c r="E284" s="2"/>
      <c r="F284" s="2" t="s">
        <v>430</v>
      </c>
      <c r="G284" s="2"/>
      <c r="H284" s="2"/>
      <c r="I284" s="2" t="s">
        <v>133</v>
      </c>
      <c r="J284" s="2"/>
      <c r="K284" t="b">
        <v>0</v>
      </c>
      <c r="L284" s="2" t="s">
        <v>130</v>
      </c>
    </row>
    <row r="285" spans="1:12" hidden="1" x14ac:dyDescent="0.3">
      <c r="A285" s="2" t="s">
        <v>8</v>
      </c>
      <c r="B285" s="2"/>
      <c r="D285" s="2" t="s">
        <v>429</v>
      </c>
      <c r="E285" s="2"/>
      <c r="F285" s="2" t="s">
        <v>430</v>
      </c>
      <c r="G285" s="2"/>
      <c r="H285" s="2"/>
      <c r="I285" s="2" t="s">
        <v>133</v>
      </c>
      <c r="J285" s="2"/>
      <c r="K285" t="b">
        <v>0</v>
      </c>
      <c r="L285" s="2" t="s">
        <v>130</v>
      </c>
    </row>
    <row r="286" spans="1:12" hidden="1" x14ac:dyDescent="0.3">
      <c r="A286" s="2" t="s">
        <v>8</v>
      </c>
      <c r="B286" s="2"/>
      <c r="D286" s="2" t="s">
        <v>429</v>
      </c>
      <c r="E286" s="2"/>
      <c r="F286" s="2" t="s">
        <v>430</v>
      </c>
      <c r="G286" s="2"/>
      <c r="H286" s="2"/>
      <c r="I286" s="2" t="s">
        <v>133</v>
      </c>
      <c r="J286" s="2"/>
      <c r="K286" t="b">
        <v>0</v>
      </c>
      <c r="L286" s="2" t="s">
        <v>130</v>
      </c>
    </row>
    <row r="287" spans="1:12" hidden="1" x14ac:dyDescent="0.3">
      <c r="A287" s="2" t="s">
        <v>8</v>
      </c>
      <c r="B287" s="2"/>
      <c r="D287" s="2" t="s">
        <v>429</v>
      </c>
      <c r="E287" s="2"/>
      <c r="F287" s="2" t="s">
        <v>430</v>
      </c>
      <c r="G287" s="2"/>
      <c r="H287" s="2"/>
      <c r="I287" s="2" t="s">
        <v>133</v>
      </c>
      <c r="J287" s="2"/>
      <c r="K287" t="b">
        <v>0</v>
      </c>
      <c r="L287" s="2" t="s">
        <v>130</v>
      </c>
    </row>
    <row r="288" spans="1:12" hidden="1" x14ac:dyDescent="0.3">
      <c r="A288" s="2" t="s">
        <v>8</v>
      </c>
      <c r="B288" s="2"/>
      <c r="D288" s="2" t="s">
        <v>429</v>
      </c>
      <c r="E288" s="2"/>
      <c r="F288" s="2" t="s">
        <v>430</v>
      </c>
      <c r="G288" s="2"/>
      <c r="H288" s="2"/>
      <c r="I288" s="2" t="s">
        <v>133</v>
      </c>
      <c r="J288" s="2"/>
      <c r="K288" t="b">
        <v>0</v>
      </c>
      <c r="L288" s="2" t="s">
        <v>130</v>
      </c>
    </row>
    <row r="289" spans="1:12" hidden="1" x14ac:dyDescent="0.3">
      <c r="A289" s="2" t="s">
        <v>8</v>
      </c>
      <c r="B289" s="2"/>
      <c r="D289" s="2" t="s">
        <v>429</v>
      </c>
      <c r="E289" s="2"/>
      <c r="F289" s="2" t="s">
        <v>430</v>
      </c>
      <c r="G289" s="2"/>
      <c r="H289" s="2"/>
      <c r="I289" s="2" t="s">
        <v>133</v>
      </c>
      <c r="J289" s="2"/>
      <c r="K289" t="b">
        <v>0</v>
      </c>
      <c r="L289" s="2" t="s">
        <v>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51A4-9F20-4410-A132-F1B314BD0788}">
  <dimension ref="A1:L289"/>
  <sheetViews>
    <sheetView workbookViewId="0">
      <selection sqref="A1:L289"/>
    </sheetView>
  </sheetViews>
  <sheetFormatPr defaultRowHeight="14.4" x14ac:dyDescent="0.3"/>
  <cols>
    <col min="1" max="1" width="13" bestFit="1" customWidth="1"/>
    <col min="2" max="2" width="14" bestFit="1" customWidth="1"/>
    <col min="3" max="3" width="9.21875" bestFit="1" customWidth="1"/>
    <col min="4" max="4" width="10.77734375" bestFit="1" customWidth="1"/>
    <col min="5" max="6" width="38.88671875" bestFit="1" customWidth="1"/>
    <col min="7" max="7" width="12.6640625" bestFit="1" customWidth="1"/>
    <col min="8" max="8" width="52.88671875" bestFit="1" customWidth="1"/>
    <col min="9" max="9" width="18.109375" bestFit="1" customWidth="1"/>
    <col min="10" max="10" width="19.109375" bestFit="1" customWidth="1"/>
    <col min="11" max="11" width="11.109375" bestFit="1" customWidth="1"/>
    <col min="12" max="12" width="12.77734375" bestFit="1" customWidth="1"/>
  </cols>
  <sheetData>
    <row r="1" spans="1:12" x14ac:dyDescent="0.3">
      <c r="A1" t="s">
        <v>5</v>
      </c>
      <c r="B1" t="s">
        <v>4</v>
      </c>
      <c r="C1" t="s">
        <v>3</v>
      </c>
      <c r="D1" t="s">
        <v>0</v>
      </c>
      <c r="E1" t="s">
        <v>2</v>
      </c>
      <c r="F1" t="s">
        <v>15</v>
      </c>
      <c r="G1" t="s">
        <v>34</v>
      </c>
      <c r="H1" t="s">
        <v>35</v>
      </c>
      <c r="I1" t="s">
        <v>1</v>
      </c>
      <c r="J1" t="s">
        <v>6</v>
      </c>
      <c r="K1" t="s">
        <v>12</v>
      </c>
      <c r="L1" t="s">
        <v>52</v>
      </c>
    </row>
    <row r="2" spans="1:12" hidden="1" x14ac:dyDescent="0.3">
      <c r="A2" s="2" t="s">
        <v>8</v>
      </c>
      <c r="B2" s="2" t="s">
        <v>20</v>
      </c>
      <c r="C2">
        <v>1</v>
      </c>
      <c r="D2" s="2" t="s">
        <v>131</v>
      </c>
      <c r="E2" s="2" t="s">
        <v>21</v>
      </c>
      <c r="F2" s="2" t="s">
        <v>21</v>
      </c>
      <c r="G2" s="2" t="s">
        <v>36</v>
      </c>
      <c r="H2" s="2" t="s">
        <v>132</v>
      </c>
      <c r="I2" s="2" t="s">
        <v>133</v>
      </c>
      <c r="J2" s="2" t="s">
        <v>134</v>
      </c>
      <c r="K2" t="b">
        <v>0</v>
      </c>
      <c r="L2" s="2" t="s">
        <v>130</v>
      </c>
    </row>
    <row r="3" spans="1:12" hidden="1" x14ac:dyDescent="0.3">
      <c r="A3" s="2" t="s">
        <v>8</v>
      </c>
      <c r="B3" s="2" t="s">
        <v>20</v>
      </c>
      <c r="C3">
        <v>2</v>
      </c>
      <c r="D3" s="2" t="s">
        <v>135</v>
      </c>
      <c r="E3" s="2" t="s">
        <v>28</v>
      </c>
      <c r="F3" s="2" t="s">
        <v>28</v>
      </c>
      <c r="G3" s="2" t="s">
        <v>36</v>
      </c>
      <c r="H3" s="2" t="s">
        <v>132</v>
      </c>
      <c r="I3" s="2" t="s">
        <v>133</v>
      </c>
      <c r="J3" s="2" t="s">
        <v>134</v>
      </c>
      <c r="K3" t="b">
        <v>0</v>
      </c>
      <c r="L3" s="2" t="s">
        <v>130</v>
      </c>
    </row>
    <row r="4" spans="1:12" hidden="1" x14ac:dyDescent="0.3">
      <c r="A4" s="2" t="s">
        <v>8</v>
      </c>
      <c r="B4" s="2" t="s">
        <v>20</v>
      </c>
      <c r="C4">
        <v>3</v>
      </c>
      <c r="D4" s="2" t="s">
        <v>136</v>
      </c>
      <c r="E4" s="2" t="s">
        <v>30</v>
      </c>
      <c r="F4" s="2" t="s">
        <v>30</v>
      </c>
      <c r="G4" s="2" t="s">
        <v>36</v>
      </c>
      <c r="H4" s="2" t="s">
        <v>132</v>
      </c>
      <c r="I4" s="2" t="s">
        <v>133</v>
      </c>
      <c r="J4" s="2" t="s">
        <v>134</v>
      </c>
      <c r="K4" t="b">
        <v>0</v>
      </c>
      <c r="L4" s="2" t="s">
        <v>130</v>
      </c>
    </row>
    <row r="5" spans="1:12" hidden="1" x14ac:dyDescent="0.3">
      <c r="A5" s="2" t="s">
        <v>8</v>
      </c>
      <c r="B5" s="2" t="s">
        <v>20</v>
      </c>
      <c r="C5">
        <v>4</v>
      </c>
      <c r="D5" s="2" t="s">
        <v>137</v>
      </c>
      <c r="E5" s="2" t="s">
        <v>29</v>
      </c>
      <c r="F5" s="2" t="s">
        <v>29</v>
      </c>
      <c r="G5" s="2" t="s">
        <v>36</v>
      </c>
      <c r="H5" s="2" t="s">
        <v>132</v>
      </c>
      <c r="I5" s="2" t="s">
        <v>133</v>
      </c>
      <c r="J5" s="2" t="s">
        <v>134</v>
      </c>
      <c r="K5" t="b">
        <v>0</v>
      </c>
      <c r="L5" s="2" t="s">
        <v>130</v>
      </c>
    </row>
    <row r="6" spans="1:12" hidden="1" x14ac:dyDescent="0.3">
      <c r="A6" s="2" t="s">
        <v>8</v>
      </c>
      <c r="B6" s="2" t="s">
        <v>20</v>
      </c>
      <c r="C6">
        <v>5</v>
      </c>
      <c r="D6" s="2" t="s">
        <v>138</v>
      </c>
      <c r="E6" s="2" t="s">
        <v>32</v>
      </c>
      <c r="F6" s="2" t="s">
        <v>32</v>
      </c>
      <c r="G6" s="2" t="s">
        <v>36</v>
      </c>
      <c r="H6" s="2" t="s">
        <v>132</v>
      </c>
      <c r="I6" s="2" t="s">
        <v>133</v>
      </c>
      <c r="J6" s="2" t="s">
        <v>134</v>
      </c>
      <c r="K6" t="b">
        <v>0</v>
      </c>
      <c r="L6" s="2" t="s">
        <v>130</v>
      </c>
    </row>
    <row r="7" spans="1:12" hidden="1" x14ac:dyDescent="0.3">
      <c r="A7" s="2" t="s">
        <v>8</v>
      </c>
      <c r="B7" s="2" t="s">
        <v>20</v>
      </c>
      <c r="C7">
        <v>6</v>
      </c>
      <c r="D7" s="2" t="s">
        <v>139</v>
      </c>
      <c r="E7" s="2" t="s">
        <v>7</v>
      </c>
      <c r="F7" s="2" t="s">
        <v>7</v>
      </c>
      <c r="G7" s="2" t="s">
        <v>36</v>
      </c>
      <c r="H7" s="2" t="s">
        <v>132</v>
      </c>
      <c r="I7" s="2" t="s">
        <v>133</v>
      </c>
      <c r="J7" s="2" t="s">
        <v>134</v>
      </c>
      <c r="K7" t="b">
        <v>0</v>
      </c>
      <c r="L7" s="2" t="s">
        <v>130</v>
      </c>
    </row>
    <row r="8" spans="1:12" hidden="1" x14ac:dyDescent="0.3">
      <c r="A8" s="2" t="s">
        <v>8</v>
      </c>
      <c r="B8" s="2" t="s">
        <v>20</v>
      </c>
      <c r="C8">
        <v>7</v>
      </c>
      <c r="D8" s="2" t="s">
        <v>140</v>
      </c>
      <c r="E8" s="2" t="s">
        <v>31</v>
      </c>
      <c r="F8" s="2" t="s">
        <v>31</v>
      </c>
      <c r="G8" s="2" t="s">
        <v>36</v>
      </c>
      <c r="H8" s="2" t="s">
        <v>132</v>
      </c>
      <c r="I8" s="2" t="s">
        <v>133</v>
      </c>
      <c r="J8" s="2" t="s">
        <v>134</v>
      </c>
      <c r="K8" t="b">
        <v>0</v>
      </c>
      <c r="L8" s="2" t="s">
        <v>130</v>
      </c>
    </row>
    <row r="9" spans="1:12" hidden="1" x14ac:dyDescent="0.3">
      <c r="A9" s="2" t="s">
        <v>8</v>
      </c>
      <c r="B9" s="2" t="s">
        <v>20</v>
      </c>
      <c r="C9">
        <v>8</v>
      </c>
      <c r="D9" s="2" t="s">
        <v>141</v>
      </c>
      <c r="E9" s="2" t="s">
        <v>33</v>
      </c>
      <c r="F9" s="2" t="s">
        <v>33</v>
      </c>
      <c r="G9" s="2" t="s">
        <v>36</v>
      </c>
      <c r="H9" s="2" t="s">
        <v>132</v>
      </c>
      <c r="I9" s="2" t="s">
        <v>133</v>
      </c>
      <c r="J9" s="2" t="s">
        <v>134</v>
      </c>
      <c r="K9" t="b">
        <v>0</v>
      </c>
      <c r="L9" s="2" t="s">
        <v>130</v>
      </c>
    </row>
    <row r="10" spans="1:12" hidden="1" x14ac:dyDescent="0.3">
      <c r="A10" s="2" t="s">
        <v>8</v>
      </c>
      <c r="B10" s="2" t="s">
        <v>20</v>
      </c>
      <c r="C10">
        <v>9</v>
      </c>
      <c r="D10" s="2" t="s">
        <v>142</v>
      </c>
      <c r="E10" s="2" t="s">
        <v>9</v>
      </c>
      <c r="F10" s="2" t="s">
        <v>9</v>
      </c>
      <c r="G10" s="2" t="s">
        <v>36</v>
      </c>
      <c r="H10" s="2" t="s">
        <v>132</v>
      </c>
      <c r="I10" s="2" t="s">
        <v>133</v>
      </c>
      <c r="J10" s="2" t="s">
        <v>134</v>
      </c>
      <c r="K10" t="b">
        <v>0</v>
      </c>
      <c r="L10" s="2" t="s">
        <v>130</v>
      </c>
    </row>
    <row r="11" spans="1:12" hidden="1" x14ac:dyDescent="0.3">
      <c r="A11" s="2" t="s">
        <v>8</v>
      </c>
      <c r="B11" s="2" t="s">
        <v>20</v>
      </c>
      <c r="C11">
        <v>10</v>
      </c>
      <c r="D11" s="2" t="s">
        <v>143</v>
      </c>
      <c r="E11" s="2" t="s">
        <v>17</v>
      </c>
      <c r="F11" s="2" t="s">
        <v>17</v>
      </c>
      <c r="G11" s="2" t="s">
        <v>36</v>
      </c>
      <c r="H11" s="2" t="s">
        <v>132</v>
      </c>
      <c r="I11" s="2" t="s">
        <v>133</v>
      </c>
      <c r="J11" s="2" t="s">
        <v>134</v>
      </c>
      <c r="K11" t="b">
        <v>0</v>
      </c>
      <c r="L11" s="2" t="s">
        <v>130</v>
      </c>
    </row>
    <row r="12" spans="1:12" hidden="1" x14ac:dyDescent="0.3">
      <c r="A12" s="2" t="s">
        <v>8</v>
      </c>
      <c r="B12" s="2" t="s">
        <v>20</v>
      </c>
      <c r="C12">
        <v>11</v>
      </c>
      <c r="D12" s="2" t="s">
        <v>144</v>
      </c>
      <c r="E12" s="2" t="s">
        <v>11</v>
      </c>
      <c r="F12" s="2" t="s">
        <v>11</v>
      </c>
      <c r="G12" s="2" t="s">
        <v>36</v>
      </c>
      <c r="H12" s="2" t="s">
        <v>132</v>
      </c>
      <c r="I12" s="2" t="s">
        <v>133</v>
      </c>
      <c r="J12" s="2" t="s">
        <v>134</v>
      </c>
      <c r="K12" t="b">
        <v>0</v>
      </c>
      <c r="L12" s="2" t="s">
        <v>130</v>
      </c>
    </row>
    <row r="13" spans="1:12" hidden="1" x14ac:dyDescent="0.3">
      <c r="A13" s="2" t="s">
        <v>8</v>
      </c>
      <c r="B13" s="2" t="s">
        <v>20</v>
      </c>
      <c r="C13">
        <v>12</v>
      </c>
      <c r="D13" s="2" t="s">
        <v>145</v>
      </c>
      <c r="E13" s="2" t="s">
        <v>14</v>
      </c>
      <c r="F13" s="2" t="s">
        <v>146</v>
      </c>
      <c r="G13" s="2" t="s">
        <v>36</v>
      </c>
      <c r="H13" s="2" t="s">
        <v>132</v>
      </c>
      <c r="I13" s="2" t="s">
        <v>133</v>
      </c>
      <c r="J13" s="2" t="s">
        <v>134</v>
      </c>
      <c r="K13" t="b">
        <v>1</v>
      </c>
      <c r="L13" s="2" t="s">
        <v>130</v>
      </c>
    </row>
    <row r="14" spans="1:12" hidden="1" x14ac:dyDescent="0.3">
      <c r="A14" s="2" t="s">
        <v>8</v>
      </c>
      <c r="B14" s="2" t="s">
        <v>20</v>
      </c>
      <c r="C14">
        <v>13</v>
      </c>
      <c r="D14" s="2" t="s">
        <v>147</v>
      </c>
      <c r="E14" s="2" t="s">
        <v>25</v>
      </c>
      <c r="F14" s="2" t="s">
        <v>25</v>
      </c>
      <c r="G14" s="2" t="s">
        <v>36</v>
      </c>
      <c r="H14" s="2" t="s">
        <v>132</v>
      </c>
      <c r="I14" s="2" t="s">
        <v>133</v>
      </c>
      <c r="J14" s="2" t="s">
        <v>134</v>
      </c>
      <c r="K14" t="b">
        <v>0</v>
      </c>
      <c r="L14" s="2" t="s">
        <v>130</v>
      </c>
    </row>
    <row r="15" spans="1:12" hidden="1" x14ac:dyDescent="0.3">
      <c r="A15" s="2" t="s">
        <v>8</v>
      </c>
      <c r="B15" s="2" t="s">
        <v>20</v>
      </c>
      <c r="C15">
        <v>14</v>
      </c>
      <c r="D15" s="2" t="s">
        <v>148</v>
      </c>
      <c r="E15" s="2" t="s">
        <v>26</v>
      </c>
      <c r="F15" s="2" t="s">
        <v>26</v>
      </c>
      <c r="G15" s="2" t="s">
        <v>36</v>
      </c>
      <c r="H15" s="2" t="s">
        <v>132</v>
      </c>
      <c r="I15" s="2" t="s">
        <v>133</v>
      </c>
      <c r="J15" s="2" t="s">
        <v>134</v>
      </c>
      <c r="K15" t="b">
        <v>0</v>
      </c>
      <c r="L15" s="2" t="s">
        <v>130</v>
      </c>
    </row>
    <row r="16" spans="1:12" hidden="1" x14ac:dyDescent="0.3">
      <c r="A16" s="2" t="s">
        <v>8</v>
      </c>
      <c r="B16" s="2" t="s">
        <v>20</v>
      </c>
      <c r="C16">
        <v>15</v>
      </c>
      <c r="D16" s="2" t="s">
        <v>149</v>
      </c>
      <c r="E16" s="2" t="s">
        <v>27</v>
      </c>
      <c r="F16" s="2" t="s">
        <v>27</v>
      </c>
      <c r="G16" s="2" t="s">
        <v>36</v>
      </c>
      <c r="H16" s="2" t="s">
        <v>132</v>
      </c>
      <c r="I16" s="2" t="s">
        <v>133</v>
      </c>
      <c r="J16" s="2" t="s">
        <v>134</v>
      </c>
      <c r="K16" t="b">
        <v>0</v>
      </c>
      <c r="L16" s="2" t="s">
        <v>130</v>
      </c>
    </row>
    <row r="17" spans="1:12" hidden="1" x14ac:dyDescent="0.3">
      <c r="A17" s="2" t="s">
        <v>8</v>
      </c>
      <c r="B17" s="2" t="s">
        <v>20</v>
      </c>
      <c r="C17">
        <v>16</v>
      </c>
      <c r="D17" s="2" t="s">
        <v>150</v>
      </c>
      <c r="E17" s="2" t="s">
        <v>24</v>
      </c>
      <c r="F17" s="2" t="s">
        <v>24</v>
      </c>
      <c r="G17" s="2" t="s">
        <v>36</v>
      </c>
      <c r="H17" s="2" t="s">
        <v>132</v>
      </c>
      <c r="I17" s="2" t="s">
        <v>133</v>
      </c>
      <c r="J17" s="2" t="s">
        <v>134</v>
      </c>
      <c r="K17" t="b">
        <v>0</v>
      </c>
      <c r="L17" s="2" t="s">
        <v>130</v>
      </c>
    </row>
    <row r="18" spans="1:12" hidden="1" x14ac:dyDescent="0.3">
      <c r="A18" s="2" t="s">
        <v>8</v>
      </c>
      <c r="B18" s="2" t="s">
        <v>20</v>
      </c>
      <c r="C18">
        <v>17</v>
      </c>
      <c r="D18" s="2" t="s">
        <v>151</v>
      </c>
      <c r="E18" s="2" t="s">
        <v>10</v>
      </c>
      <c r="F18" s="2" t="s">
        <v>10</v>
      </c>
      <c r="G18" s="2" t="s">
        <v>36</v>
      </c>
      <c r="H18" s="2" t="s">
        <v>132</v>
      </c>
      <c r="I18" s="2" t="s">
        <v>133</v>
      </c>
      <c r="J18" s="2" t="s">
        <v>134</v>
      </c>
      <c r="K18" t="b">
        <v>0</v>
      </c>
      <c r="L18" s="2" t="s">
        <v>130</v>
      </c>
    </row>
    <row r="19" spans="1:12" hidden="1" x14ac:dyDescent="0.3">
      <c r="A19" s="2" t="s">
        <v>8</v>
      </c>
      <c r="B19" s="2" t="s">
        <v>20</v>
      </c>
      <c r="C19">
        <v>18</v>
      </c>
      <c r="D19" s="2" t="s">
        <v>152</v>
      </c>
      <c r="E19" s="2" t="s">
        <v>19</v>
      </c>
      <c r="F19" s="2" t="s">
        <v>19</v>
      </c>
      <c r="G19" s="2" t="s">
        <v>36</v>
      </c>
      <c r="H19" s="2" t="s">
        <v>132</v>
      </c>
      <c r="I19" s="2" t="s">
        <v>133</v>
      </c>
      <c r="J19" s="2" t="s">
        <v>134</v>
      </c>
      <c r="K19" t="b">
        <v>0</v>
      </c>
      <c r="L19" s="2" t="s">
        <v>130</v>
      </c>
    </row>
    <row r="20" spans="1:12" hidden="1" x14ac:dyDescent="0.3">
      <c r="A20" s="2" t="s">
        <v>8</v>
      </c>
      <c r="B20" s="2" t="s">
        <v>20</v>
      </c>
      <c r="C20">
        <v>19</v>
      </c>
      <c r="D20" s="2" t="s">
        <v>153</v>
      </c>
      <c r="E20" s="2" t="s">
        <v>13</v>
      </c>
      <c r="F20" s="2" t="s">
        <v>13</v>
      </c>
      <c r="G20" s="2" t="s">
        <v>36</v>
      </c>
      <c r="H20" s="2" t="s">
        <v>132</v>
      </c>
      <c r="I20" s="2" t="s">
        <v>133</v>
      </c>
      <c r="J20" s="2" t="s">
        <v>134</v>
      </c>
      <c r="K20" t="b">
        <v>0</v>
      </c>
      <c r="L20" s="2" t="s">
        <v>130</v>
      </c>
    </row>
    <row r="21" spans="1:12" hidden="1" x14ac:dyDescent="0.3">
      <c r="A21" s="2" t="s">
        <v>8</v>
      </c>
      <c r="B21" s="2" t="s">
        <v>20</v>
      </c>
      <c r="C21">
        <v>20</v>
      </c>
      <c r="D21" s="2" t="s">
        <v>154</v>
      </c>
      <c r="E21" s="2" t="s">
        <v>16</v>
      </c>
      <c r="F21" s="2" t="s">
        <v>155</v>
      </c>
      <c r="G21" s="2" t="s">
        <v>36</v>
      </c>
      <c r="H21" s="2" t="s">
        <v>132</v>
      </c>
      <c r="I21" s="2" t="s">
        <v>133</v>
      </c>
      <c r="J21" s="2" t="s">
        <v>134</v>
      </c>
      <c r="K21" t="b">
        <v>1</v>
      </c>
      <c r="L21" s="2" t="s">
        <v>130</v>
      </c>
    </row>
    <row r="22" spans="1:12" hidden="1" x14ac:dyDescent="0.3">
      <c r="A22" s="2" t="s">
        <v>8</v>
      </c>
      <c r="B22" s="2" t="s">
        <v>20</v>
      </c>
      <c r="C22">
        <v>21</v>
      </c>
      <c r="D22" s="2" t="s">
        <v>156</v>
      </c>
      <c r="E22" s="2" t="s">
        <v>18</v>
      </c>
      <c r="F22" s="2" t="s">
        <v>18</v>
      </c>
      <c r="G22" s="2" t="s">
        <v>36</v>
      </c>
      <c r="H22" s="2" t="s">
        <v>132</v>
      </c>
      <c r="I22" s="2" t="s">
        <v>133</v>
      </c>
      <c r="J22" s="2" t="s">
        <v>134</v>
      </c>
      <c r="K22" t="b">
        <v>0</v>
      </c>
      <c r="L22" s="2" t="s">
        <v>130</v>
      </c>
    </row>
    <row r="23" spans="1:12" hidden="1" x14ac:dyDescent="0.3">
      <c r="A23" s="2" t="s">
        <v>8</v>
      </c>
      <c r="B23" s="2" t="s">
        <v>20</v>
      </c>
      <c r="C23">
        <v>22</v>
      </c>
      <c r="D23" s="2" t="s">
        <v>157</v>
      </c>
      <c r="E23" s="2" t="s">
        <v>37</v>
      </c>
      <c r="F23" s="2" t="s">
        <v>37</v>
      </c>
      <c r="G23" s="2" t="s">
        <v>38</v>
      </c>
      <c r="H23" s="2" t="s">
        <v>158</v>
      </c>
      <c r="I23" s="2" t="s">
        <v>133</v>
      </c>
      <c r="J23" s="2" t="s">
        <v>134</v>
      </c>
      <c r="K23" t="b">
        <v>0</v>
      </c>
      <c r="L23" s="2" t="s">
        <v>130</v>
      </c>
    </row>
    <row r="24" spans="1:12" hidden="1" x14ac:dyDescent="0.3">
      <c r="A24" s="2" t="s">
        <v>8</v>
      </c>
      <c r="B24" s="2" t="s">
        <v>20</v>
      </c>
      <c r="C24">
        <v>23</v>
      </c>
      <c r="D24" s="2" t="s">
        <v>159</v>
      </c>
      <c r="E24" s="2" t="s">
        <v>40</v>
      </c>
      <c r="F24" s="2" t="s">
        <v>40</v>
      </c>
      <c r="G24" s="2" t="s">
        <v>38</v>
      </c>
      <c r="H24" s="2" t="s">
        <v>158</v>
      </c>
      <c r="I24" s="2" t="s">
        <v>133</v>
      </c>
      <c r="J24" s="2" t="s">
        <v>134</v>
      </c>
      <c r="K24" t="b">
        <v>0</v>
      </c>
      <c r="L24" s="2" t="s">
        <v>130</v>
      </c>
    </row>
    <row r="25" spans="1:12" hidden="1" x14ac:dyDescent="0.3">
      <c r="A25" s="2" t="s">
        <v>8</v>
      </c>
      <c r="B25" s="2" t="s">
        <v>20</v>
      </c>
      <c r="C25">
        <v>24</v>
      </c>
      <c r="D25" s="2" t="s">
        <v>160</v>
      </c>
      <c r="E25" s="2" t="s">
        <v>41</v>
      </c>
      <c r="F25" s="2" t="s">
        <v>41</v>
      </c>
      <c r="G25" s="2" t="s">
        <v>38</v>
      </c>
      <c r="H25" s="2" t="s">
        <v>158</v>
      </c>
      <c r="I25" s="2" t="s">
        <v>133</v>
      </c>
      <c r="J25" s="2" t="s">
        <v>134</v>
      </c>
      <c r="K25" t="b">
        <v>0</v>
      </c>
      <c r="L25" s="2" t="s">
        <v>130</v>
      </c>
    </row>
    <row r="26" spans="1:12" hidden="1" x14ac:dyDescent="0.3">
      <c r="A26" s="2" t="s">
        <v>8</v>
      </c>
      <c r="B26" s="2" t="s">
        <v>20</v>
      </c>
      <c r="C26">
        <v>25</v>
      </c>
      <c r="D26" s="2" t="s">
        <v>161</v>
      </c>
      <c r="E26" s="2" t="s">
        <v>39</v>
      </c>
      <c r="F26" s="2" t="s">
        <v>39</v>
      </c>
      <c r="G26" s="2" t="s">
        <v>38</v>
      </c>
      <c r="H26" s="2" t="s">
        <v>158</v>
      </c>
      <c r="I26" s="2" t="s">
        <v>133</v>
      </c>
      <c r="J26" s="2" t="s">
        <v>134</v>
      </c>
      <c r="K26" t="b">
        <v>0</v>
      </c>
      <c r="L26" s="2" t="s">
        <v>130</v>
      </c>
    </row>
    <row r="27" spans="1:12" hidden="1" x14ac:dyDescent="0.3">
      <c r="A27" s="2" t="s">
        <v>8</v>
      </c>
      <c r="B27" s="2" t="s">
        <v>20</v>
      </c>
      <c r="C27">
        <v>26</v>
      </c>
      <c r="D27" s="2" t="s">
        <v>162</v>
      </c>
      <c r="E27" s="2" t="s">
        <v>42</v>
      </c>
      <c r="F27" s="2" t="s">
        <v>42</v>
      </c>
      <c r="G27" s="2" t="s">
        <v>46</v>
      </c>
      <c r="H27" s="2" t="s">
        <v>163</v>
      </c>
      <c r="I27" s="2" t="s">
        <v>133</v>
      </c>
      <c r="J27" s="2" t="s">
        <v>134</v>
      </c>
      <c r="K27" t="b">
        <v>0</v>
      </c>
      <c r="L27" s="2" t="s">
        <v>130</v>
      </c>
    </row>
    <row r="28" spans="1:12" hidden="1" x14ac:dyDescent="0.3">
      <c r="A28" s="2" t="s">
        <v>8</v>
      </c>
      <c r="B28" s="2" t="s">
        <v>20</v>
      </c>
      <c r="C28">
        <v>27</v>
      </c>
      <c r="D28" s="2" t="s">
        <v>164</v>
      </c>
      <c r="E28" s="2" t="s">
        <v>43</v>
      </c>
      <c r="F28" s="2" t="s">
        <v>43</v>
      </c>
      <c r="G28" s="2" t="s">
        <v>46</v>
      </c>
      <c r="H28" s="2" t="s">
        <v>163</v>
      </c>
      <c r="I28" s="2" t="s">
        <v>133</v>
      </c>
      <c r="J28" s="2" t="s">
        <v>134</v>
      </c>
      <c r="K28" t="b">
        <v>0</v>
      </c>
      <c r="L28" s="2" t="s">
        <v>130</v>
      </c>
    </row>
    <row r="29" spans="1:12" hidden="1" x14ac:dyDescent="0.3">
      <c r="A29" s="2" t="s">
        <v>8</v>
      </c>
      <c r="B29" s="2" t="s">
        <v>20</v>
      </c>
      <c r="C29">
        <v>28</v>
      </c>
      <c r="D29" s="2" t="s">
        <v>165</v>
      </c>
      <c r="E29" s="2" t="s">
        <v>44</v>
      </c>
      <c r="F29" s="2" t="s">
        <v>44</v>
      </c>
      <c r="G29" s="2" t="s">
        <v>46</v>
      </c>
      <c r="H29" s="2" t="s">
        <v>163</v>
      </c>
      <c r="I29" s="2" t="s">
        <v>133</v>
      </c>
      <c r="J29" s="2" t="s">
        <v>134</v>
      </c>
      <c r="K29" t="b">
        <v>0</v>
      </c>
      <c r="L29" s="2" t="s">
        <v>130</v>
      </c>
    </row>
    <row r="30" spans="1:12" hidden="1" x14ac:dyDescent="0.3">
      <c r="A30" s="2" t="s">
        <v>8</v>
      </c>
      <c r="B30" s="2" t="s">
        <v>20</v>
      </c>
      <c r="C30">
        <v>29</v>
      </c>
      <c r="D30" s="2" t="s">
        <v>166</v>
      </c>
      <c r="E30" s="2" t="s">
        <v>45</v>
      </c>
      <c r="F30" s="2" t="s">
        <v>45</v>
      </c>
      <c r="G30" s="2" t="s">
        <v>46</v>
      </c>
      <c r="H30" s="2" t="s">
        <v>163</v>
      </c>
      <c r="I30" s="2" t="s">
        <v>133</v>
      </c>
      <c r="J30" s="2" t="s">
        <v>134</v>
      </c>
      <c r="K30" t="b">
        <v>0</v>
      </c>
      <c r="L30" s="2" t="s">
        <v>130</v>
      </c>
    </row>
    <row r="31" spans="1:12" x14ac:dyDescent="0.3">
      <c r="A31" s="2" t="s">
        <v>8</v>
      </c>
      <c r="B31" s="2" t="s">
        <v>22</v>
      </c>
      <c r="C31">
        <v>1</v>
      </c>
      <c r="D31" s="2" t="s">
        <v>167</v>
      </c>
      <c r="E31" s="2" t="s">
        <v>21</v>
      </c>
      <c r="F31" s="2" t="s">
        <v>21</v>
      </c>
      <c r="G31" s="2" t="s">
        <v>36</v>
      </c>
      <c r="H31" s="2" t="s">
        <v>132</v>
      </c>
      <c r="I31" s="2" t="s">
        <v>133</v>
      </c>
      <c r="J31" s="2" t="s">
        <v>168</v>
      </c>
      <c r="K31" t="b">
        <v>0</v>
      </c>
      <c r="L31" s="2" t="s">
        <v>130</v>
      </c>
    </row>
    <row r="32" spans="1:12" x14ac:dyDescent="0.3">
      <c r="A32" s="2" t="s">
        <v>8</v>
      </c>
      <c r="B32" s="2" t="s">
        <v>22</v>
      </c>
      <c r="C32">
        <v>2</v>
      </c>
      <c r="D32" s="2" t="s">
        <v>169</v>
      </c>
      <c r="E32" s="2" t="s">
        <v>28</v>
      </c>
      <c r="F32" s="2" t="s">
        <v>28</v>
      </c>
      <c r="G32" s="2" t="s">
        <v>36</v>
      </c>
      <c r="H32" s="2" t="s">
        <v>132</v>
      </c>
      <c r="I32" s="2" t="s">
        <v>133</v>
      </c>
      <c r="J32" s="2" t="s">
        <v>168</v>
      </c>
      <c r="K32" t="b">
        <v>0</v>
      </c>
      <c r="L32" s="2" t="s">
        <v>130</v>
      </c>
    </row>
    <row r="33" spans="1:12" x14ac:dyDescent="0.3">
      <c r="A33" s="2" t="s">
        <v>8</v>
      </c>
      <c r="B33" s="2" t="s">
        <v>22</v>
      </c>
      <c r="C33">
        <v>3</v>
      </c>
      <c r="D33" s="2" t="s">
        <v>170</v>
      </c>
      <c r="E33" s="2" t="s">
        <v>30</v>
      </c>
      <c r="F33" s="2" t="s">
        <v>30</v>
      </c>
      <c r="G33" s="2" t="s">
        <v>36</v>
      </c>
      <c r="H33" s="2" t="s">
        <v>132</v>
      </c>
      <c r="I33" s="2" t="s">
        <v>133</v>
      </c>
      <c r="J33" s="2" t="s">
        <v>168</v>
      </c>
      <c r="K33" t="b">
        <v>0</v>
      </c>
      <c r="L33" s="2" t="s">
        <v>130</v>
      </c>
    </row>
    <row r="34" spans="1:12" x14ac:dyDescent="0.3">
      <c r="A34" s="2" t="s">
        <v>8</v>
      </c>
      <c r="B34" s="2" t="s">
        <v>22</v>
      </c>
      <c r="C34">
        <v>4</v>
      </c>
      <c r="D34" s="2" t="s">
        <v>171</v>
      </c>
      <c r="E34" s="2" t="s">
        <v>32</v>
      </c>
      <c r="F34" s="2" t="s">
        <v>32</v>
      </c>
      <c r="G34" s="2" t="s">
        <v>36</v>
      </c>
      <c r="H34" s="2" t="s">
        <v>132</v>
      </c>
      <c r="I34" s="2" t="s">
        <v>133</v>
      </c>
      <c r="J34" s="2" t="s">
        <v>168</v>
      </c>
      <c r="K34" t="b">
        <v>0</v>
      </c>
      <c r="L34" s="2" t="s">
        <v>130</v>
      </c>
    </row>
    <row r="35" spans="1:12" x14ac:dyDescent="0.3">
      <c r="A35" s="2" t="s">
        <v>8</v>
      </c>
      <c r="B35" s="2" t="s">
        <v>22</v>
      </c>
      <c r="C35">
        <v>5</v>
      </c>
      <c r="D35" s="2" t="s">
        <v>172</v>
      </c>
      <c r="E35" s="2" t="s">
        <v>48</v>
      </c>
      <c r="F35" s="2" t="s">
        <v>48</v>
      </c>
      <c r="G35" s="2" t="s">
        <v>36</v>
      </c>
      <c r="H35" s="2" t="s">
        <v>132</v>
      </c>
      <c r="I35" s="2" t="s">
        <v>133</v>
      </c>
      <c r="J35" s="2" t="s">
        <v>168</v>
      </c>
      <c r="K35" t="b">
        <v>0</v>
      </c>
      <c r="L35" s="2" t="s">
        <v>130</v>
      </c>
    </row>
    <row r="36" spans="1:12" x14ac:dyDescent="0.3">
      <c r="A36" s="2" t="s">
        <v>8</v>
      </c>
      <c r="B36" s="2" t="s">
        <v>22</v>
      </c>
      <c r="C36">
        <v>1</v>
      </c>
      <c r="D36" s="2" t="s">
        <v>167</v>
      </c>
      <c r="E36" s="2" t="s">
        <v>7</v>
      </c>
      <c r="F36" s="2" t="s">
        <v>7</v>
      </c>
      <c r="G36" s="2" t="s">
        <v>36</v>
      </c>
      <c r="H36" s="2" t="s">
        <v>132</v>
      </c>
      <c r="I36" s="2" t="s">
        <v>133</v>
      </c>
      <c r="J36" s="2" t="s">
        <v>168</v>
      </c>
      <c r="K36" t="b">
        <v>0</v>
      </c>
      <c r="L36" s="2" t="s">
        <v>130</v>
      </c>
    </row>
    <row r="37" spans="1:12" x14ac:dyDescent="0.3">
      <c r="A37" s="2" t="s">
        <v>8</v>
      </c>
      <c r="B37" s="2" t="s">
        <v>22</v>
      </c>
      <c r="C37">
        <v>2</v>
      </c>
      <c r="D37" s="2" t="s">
        <v>169</v>
      </c>
      <c r="E37" s="2" t="s">
        <v>33</v>
      </c>
      <c r="F37" s="2" t="s">
        <v>33</v>
      </c>
      <c r="G37" s="2" t="s">
        <v>36</v>
      </c>
      <c r="H37" s="2" t="s">
        <v>132</v>
      </c>
      <c r="I37" s="2" t="s">
        <v>133</v>
      </c>
      <c r="J37" s="2" t="s">
        <v>168</v>
      </c>
      <c r="K37" t="b">
        <v>0</v>
      </c>
      <c r="L37" s="2" t="s">
        <v>130</v>
      </c>
    </row>
    <row r="38" spans="1:12" x14ac:dyDescent="0.3">
      <c r="A38" s="2" t="s">
        <v>8</v>
      </c>
      <c r="B38" s="2" t="s">
        <v>22</v>
      </c>
      <c r="C38">
        <v>3</v>
      </c>
      <c r="D38" s="2" t="s">
        <v>170</v>
      </c>
      <c r="E38" s="2" t="s">
        <v>17</v>
      </c>
      <c r="F38" s="2" t="s">
        <v>17</v>
      </c>
      <c r="G38" s="2" t="s">
        <v>36</v>
      </c>
      <c r="H38" s="2" t="s">
        <v>132</v>
      </c>
      <c r="I38" s="2" t="s">
        <v>133</v>
      </c>
      <c r="J38" s="2" t="s">
        <v>168</v>
      </c>
      <c r="K38" t="b">
        <v>0</v>
      </c>
      <c r="L38" s="2" t="s">
        <v>130</v>
      </c>
    </row>
    <row r="39" spans="1:12" x14ac:dyDescent="0.3">
      <c r="A39" s="2" t="s">
        <v>8</v>
      </c>
      <c r="B39" s="2" t="s">
        <v>22</v>
      </c>
      <c r="C39">
        <v>4</v>
      </c>
      <c r="D39" s="2" t="s">
        <v>171</v>
      </c>
      <c r="E39" s="2" t="s">
        <v>11</v>
      </c>
      <c r="F39" s="2" t="s">
        <v>11</v>
      </c>
      <c r="G39" s="2" t="s">
        <v>36</v>
      </c>
      <c r="H39" s="2" t="s">
        <v>132</v>
      </c>
      <c r="I39" s="2" t="s">
        <v>133</v>
      </c>
      <c r="J39" s="2" t="s">
        <v>168</v>
      </c>
      <c r="K39" t="b">
        <v>0</v>
      </c>
      <c r="L39" s="2" t="s">
        <v>130</v>
      </c>
    </row>
    <row r="40" spans="1:12" x14ac:dyDescent="0.3">
      <c r="A40" s="2" t="s">
        <v>8</v>
      </c>
      <c r="B40" s="2" t="s">
        <v>22</v>
      </c>
      <c r="C40">
        <v>5</v>
      </c>
      <c r="D40" s="2" t="s">
        <v>172</v>
      </c>
      <c r="E40" s="2" t="s">
        <v>14</v>
      </c>
      <c r="F40" s="2" t="s">
        <v>146</v>
      </c>
      <c r="G40" s="2" t="s">
        <v>36</v>
      </c>
      <c r="H40" s="2" t="s">
        <v>132</v>
      </c>
      <c r="I40" s="2" t="s">
        <v>133</v>
      </c>
      <c r="J40" s="2" t="s">
        <v>168</v>
      </c>
      <c r="K40" t="b">
        <v>1</v>
      </c>
      <c r="L40" s="2" t="s">
        <v>130</v>
      </c>
    </row>
    <row r="41" spans="1:12" x14ac:dyDescent="0.3">
      <c r="A41" s="2" t="s">
        <v>8</v>
      </c>
      <c r="B41" s="2" t="s">
        <v>22</v>
      </c>
      <c r="C41">
        <v>6</v>
      </c>
      <c r="D41" s="2" t="s">
        <v>173</v>
      </c>
      <c r="E41" s="2" t="s">
        <v>25</v>
      </c>
      <c r="F41" s="2" t="s">
        <v>25</v>
      </c>
      <c r="G41" s="2" t="s">
        <v>36</v>
      </c>
      <c r="H41" s="2" t="s">
        <v>132</v>
      </c>
      <c r="I41" s="2" t="s">
        <v>133</v>
      </c>
      <c r="J41" s="2" t="s">
        <v>168</v>
      </c>
      <c r="K41" t="b">
        <v>0</v>
      </c>
      <c r="L41" s="2" t="s">
        <v>130</v>
      </c>
    </row>
    <row r="42" spans="1:12" x14ac:dyDescent="0.3">
      <c r="A42" s="2" t="s">
        <v>8</v>
      </c>
      <c r="B42" s="2" t="s">
        <v>22</v>
      </c>
      <c r="C42">
        <v>7</v>
      </c>
      <c r="D42" s="2" t="s">
        <v>174</v>
      </c>
      <c r="E42" s="2" t="s">
        <v>26</v>
      </c>
      <c r="F42" s="2" t="s">
        <v>26</v>
      </c>
      <c r="G42" s="2" t="s">
        <v>36</v>
      </c>
      <c r="H42" s="2" t="s">
        <v>132</v>
      </c>
      <c r="I42" s="2" t="s">
        <v>133</v>
      </c>
      <c r="J42" s="2" t="s">
        <v>168</v>
      </c>
      <c r="K42" t="b">
        <v>0</v>
      </c>
      <c r="L42" s="2" t="s">
        <v>130</v>
      </c>
    </row>
    <row r="43" spans="1:12" x14ac:dyDescent="0.3">
      <c r="A43" s="2" t="s">
        <v>8</v>
      </c>
      <c r="B43" s="2" t="s">
        <v>22</v>
      </c>
      <c r="C43">
        <v>8</v>
      </c>
      <c r="D43" s="2" t="s">
        <v>175</v>
      </c>
      <c r="E43" s="2" t="s">
        <v>47</v>
      </c>
      <c r="F43" s="2" t="s">
        <v>47</v>
      </c>
      <c r="G43" s="2" t="s">
        <v>36</v>
      </c>
      <c r="H43" s="2" t="s">
        <v>132</v>
      </c>
      <c r="I43" s="2" t="s">
        <v>133</v>
      </c>
      <c r="J43" s="2" t="s">
        <v>168</v>
      </c>
      <c r="K43" t="b">
        <v>0</v>
      </c>
      <c r="L43" s="2" t="s">
        <v>130</v>
      </c>
    </row>
    <row r="44" spans="1:12" x14ac:dyDescent="0.3">
      <c r="A44" s="2" t="s">
        <v>8</v>
      </c>
      <c r="B44" s="2" t="s">
        <v>22</v>
      </c>
      <c r="C44">
        <v>9</v>
      </c>
      <c r="D44" s="2" t="s">
        <v>176</v>
      </c>
      <c r="E44" s="2" t="s">
        <v>24</v>
      </c>
      <c r="F44" s="2" t="s">
        <v>24</v>
      </c>
      <c r="G44" s="2" t="s">
        <v>36</v>
      </c>
      <c r="H44" s="2" t="s">
        <v>132</v>
      </c>
      <c r="I44" s="2" t="s">
        <v>133</v>
      </c>
      <c r="J44" s="2" t="s">
        <v>168</v>
      </c>
      <c r="K44" t="b">
        <v>0</v>
      </c>
      <c r="L44" s="2" t="s">
        <v>130</v>
      </c>
    </row>
    <row r="45" spans="1:12" x14ac:dyDescent="0.3">
      <c r="A45" s="2" t="s">
        <v>8</v>
      </c>
      <c r="B45" s="2" t="s">
        <v>22</v>
      </c>
      <c r="C45">
        <v>10</v>
      </c>
      <c r="D45" s="2" t="s">
        <v>177</v>
      </c>
      <c r="E45" s="2" t="s">
        <v>10</v>
      </c>
      <c r="F45" s="2" t="s">
        <v>10</v>
      </c>
      <c r="G45" s="2" t="s">
        <v>36</v>
      </c>
      <c r="H45" s="2" t="s">
        <v>132</v>
      </c>
      <c r="I45" s="2" t="s">
        <v>133</v>
      </c>
      <c r="J45" s="2" t="s">
        <v>168</v>
      </c>
      <c r="K45" t="b">
        <v>0</v>
      </c>
      <c r="L45" s="2" t="s">
        <v>130</v>
      </c>
    </row>
    <row r="46" spans="1:12" x14ac:dyDescent="0.3">
      <c r="A46" s="2" t="s">
        <v>8</v>
      </c>
      <c r="B46" s="2" t="s">
        <v>22</v>
      </c>
      <c r="C46">
        <v>11</v>
      </c>
      <c r="D46" s="2" t="s">
        <v>178</v>
      </c>
      <c r="E46" s="2" t="s">
        <v>19</v>
      </c>
      <c r="F46" s="2" t="s">
        <v>19</v>
      </c>
      <c r="G46" s="2" t="s">
        <v>36</v>
      </c>
      <c r="H46" s="2" t="s">
        <v>132</v>
      </c>
      <c r="I46" s="2" t="s">
        <v>133</v>
      </c>
      <c r="J46" s="2" t="s">
        <v>168</v>
      </c>
      <c r="K46" t="b">
        <v>0</v>
      </c>
      <c r="L46" s="2" t="s">
        <v>130</v>
      </c>
    </row>
    <row r="47" spans="1:12" x14ac:dyDescent="0.3">
      <c r="A47" s="2" t="s">
        <v>8</v>
      </c>
      <c r="B47" s="2" t="s">
        <v>22</v>
      </c>
      <c r="C47">
        <v>12</v>
      </c>
      <c r="D47" s="2" t="s">
        <v>179</v>
      </c>
      <c r="E47" s="2" t="s">
        <v>13</v>
      </c>
      <c r="F47" s="2" t="s">
        <v>13</v>
      </c>
      <c r="G47" s="2" t="s">
        <v>36</v>
      </c>
      <c r="H47" s="2" t="s">
        <v>132</v>
      </c>
      <c r="I47" s="2" t="s">
        <v>133</v>
      </c>
      <c r="J47" s="2" t="s">
        <v>168</v>
      </c>
      <c r="K47" t="b">
        <v>0</v>
      </c>
      <c r="L47" s="2" t="s">
        <v>130</v>
      </c>
    </row>
    <row r="48" spans="1:12" x14ac:dyDescent="0.3">
      <c r="A48" s="2" t="s">
        <v>8</v>
      </c>
      <c r="B48" s="2" t="s">
        <v>22</v>
      </c>
      <c r="C48">
        <v>13</v>
      </c>
      <c r="D48" s="2" t="s">
        <v>180</v>
      </c>
      <c r="E48" s="2" t="s">
        <v>16</v>
      </c>
      <c r="F48" s="2" t="s">
        <v>155</v>
      </c>
      <c r="G48" s="2" t="s">
        <v>36</v>
      </c>
      <c r="H48" s="2" t="s">
        <v>132</v>
      </c>
      <c r="I48" s="2" t="s">
        <v>133</v>
      </c>
      <c r="J48" s="2" t="s">
        <v>168</v>
      </c>
      <c r="K48" t="b">
        <v>1</v>
      </c>
      <c r="L48" s="2" t="s">
        <v>130</v>
      </c>
    </row>
    <row r="49" spans="1:12" x14ac:dyDescent="0.3">
      <c r="A49" s="2" t="s">
        <v>8</v>
      </c>
      <c r="B49" s="2" t="s">
        <v>22</v>
      </c>
      <c r="C49">
        <v>14</v>
      </c>
      <c r="D49" s="2" t="s">
        <v>181</v>
      </c>
      <c r="E49" s="2" t="s">
        <v>18</v>
      </c>
      <c r="F49" s="2" t="s">
        <v>18</v>
      </c>
      <c r="G49" s="2" t="s">
        <v>36</v>
      </c>
      <c r="H49" s="2" t="s">
        <v>132</v>
      </c>
      <c r="I49" s="2" t="s">
        <v>133</v>
      </c>
      <c r="J49" s="2" t="s">
        <v>168</v>
      </c>
      <c r="K49" t="b">
        <v>0</v>
      </c>
      <c r="L49" s="2" t="s">
        <v>130</v>
      </c>
    </row>
    <row r="50" spans="1:12" x14ac:dyDescent="0.3">
      <c r="A50" s="2" t="s">
        <v>8</v>
      </c>
      <c r="B50" s="2" t="s">
        <v>22</v>
      </c>
      <c r="C50">
        <v>15</v>
      </c>
      <c r="D50" s="2" t="s">
        <v>182</v>
      </c>
      <c r="E50" s="2" t="s">
        <v>49</v>
      </c>
      <c r="F50" s="2" t="s">
        <v>49</v>
      </c>
      <c r="G50" s="2" t="s">
        <v>38</v>
      </c>
      <c r="H50" s="2" t="s">
        <v>158</v>
      </c>
      <c r="I50" s="2" t="s">
        <v>133</v>
      </c>
      <c r="J50" s="2" t="s">
        <v>168</v>
      </c>
      <c r="K50" t="b">
        <v>0</v>
      </c>
      <c r="L50" s="2" t="s">
        <v>130</v>
      </c>
    </row>
    <row r="51" spans="1:12" x14ac:dyDescent="0.3">
      <c r="A51" s="2" t="s">
        <v>8</v>
      </c>
      <c r="B51" s="2" t="s">
        <v>22</v>
      </c>
      <c r="C51">
        <v>16</v>
      </c>
      <c r="D51" s="2" t="s">
        <v>183</v>
      </c>
      <c r="E51" s="2" t="s">
        <v>37</v>
      </c>
      <c r="F51" s="2" t="s">
        <v>37</v>
      </c>
      <c r="G51" s="2" t="s">
        <v>38</v>
      </c>
      <c r="H51" s="2" t="s">
        <v>158</v>
      </c>
      <c r="I51" s="2" t="s">
        <v>133</v>
      </c>
      <c r="J51" s="2" t="s">
        <v>168</v>
      </c>
      <c r="K51" t="b">
        <v>0</v>
      </c>
      <c r="L51" s="2" t="s">
        <v>130</v>
      </c>
    </row>
    <row r="52" spans="1:12" x14ac:dyDescent="0.3">
      <c r="A52" s="2" t="s">
        <v>8</v>
      </c>
      <c r="B52" s="2" t="s">
        <v>22</v>
      </c>
      <c r="C52">
        <v>17</v>
      </c>
      <c r="D52" s="2" t="s">
        <v>184</v>
      </c>
      <c r="E52" s="2" t="s">
        <v>40</v>
      </c>
      <c r="F52" s="2" t="s">
        <v>40</v>
      </c>
      <c r="G52" s="2" t="s">
        <v>38</v>
      </c>
      <c r="H52" s="2" t="s">
        <v>158</v>
      </c>
      <c r="I52" s="2" t="s">
        <v>133</v>
      </c>
      <c r="J52" s="2" t="s">
        <v>168</v>
      </c>
      <c r="K52" t="b">
        <v>0</v>
      </c>
      <c r="L52" s="2" t="s">
        <v>130</v>
      </c>
    </row>
    <row r="53" spans="1:12" x14ac:dyDescent="0.3">
      <c r="A53" s="2" t="s">
        <v>8</v>
      </c>
      <c r="B53" s="2" t="s">
        <v>22</v>
      </c>
      <c r="C53">
        <v>18</v>
      </c>
      <c r="D53" s="2" t="s">
        <v>185</v>
      </c>
      <c r="E53" s="2" t="s">
        <v>41</v>
      </c>
      <c r="F53" s="2" t="s">
        <v>41</v>
      </c>
      <c r="G53" s="2" t="s">
        <v>38</v>
      </c>
      <c r="H53" s="2" t="s">
        <v>158</v>
      </c>
      <c r="I53" s="2" t="s">
        <v>133</v>
      </c>
      <c r="J53" s="2" t="s">
        <v>168</v>
      </c>
      <c r="K53" t="b">
        <v>0</v>
      </c>
      <c r="L53" s="2" t="s">
        <v>130</v>
      </c>
    </row>
    <row r="54" spans="1:12" x14ac:dyDescent="0.3">
      <c r="A54" s="2" t="s">
        <v>8</v>
      </c>
      <c r="B54" s="2" t="s">
        <v>22</v>
      </c>
      <c r="C54">
        <v>19</v>
      </c>
      <c r="D54" s="2" t="s">
        <v>186</v>
      </c>
      <c r="E54" s="2" t="s">
        <v>39</v>
      </c>
      <c r="F54" s="2" t="s">
        <v>39</v>
      </c>
      <c r="G54" s="2" t="s">
        <v>38</v>
      </c>
      <c r="H54" s="2" t="s">
        <v>158</v>
      </c>
      <c r="I54" s="2" t="s">
        <v>133</v>
      </c>
      <c r="J54" s="2" t="s">
        <v>168</v>
      </c>
      <c r="K54" t="b">
        <v>0</v>
      </c>
      <c r="L54" s="2" t="s">
        <v>130</v>
      </c>
    </row>
    <row r="55" spans="1:12" x14ac:dyDescent="0.3">
      <c r="A55" s="2" t="s">
        <v>8</v>
      </c>
      <c r="B55" s="2" t="s">
        <v>22</v>
      </c>
      <c r="C55">
        <v>20</v>
      </c>
      <c r="D55" s="2" t="s">
        <v>187</v>
      </c>
      <c r="E55" s="2" t="s">
        <v>42</v>
      </c>
      <c r="F55" s="2" t="s">
        <v>42</v>
      </c>
      <c r="G55" s="2" t="s">
        <v>46</v>
      </c>
      <c r="H55" s="2" t="s">
        <v>163</v>
      </c>
      <c r="I55" s="2" t="s">
        <v>133</v>
      </c>
      <c r="J55" s="2" t="s">
        <v>168</v>
      </c>
      <c r="K55" t="b">
        <v>0</v>
      </c>
      <c r="L55" s="2" t="s">
        <v>130</v>
      </c>
    </row>
    <row r="56" spans="1:12" x14ac:dyDescent="0.3">
      <c r="A56" s="2" t="s">
        <v>8</v>
      </c>
      <c r="B56" s="2" t="s">
        <v>22</v>
      </c>
      <c r="C56">
        <v>21</v>
      </c>
      <c r="D56" s="2" t="s">
        <v>188</v>
      </c>
      <c r="E56" s="2" t="s">
        <v>43</v>
      </c>
      <c r="F56" s="2" t="s">
        <v>43</v>
      </c>
      <c r="G56" s="2" t="s">
        <v>46</v>
      </c>
      <c r="H56" s="2" t="s">
        <v>163</v>
      </c>
      <c r="I56" s="2" t="s">
        <v>133</v>
      </c>
      <c r="J56" s="2" t="s">
        <v>168</v>
      </c>
      <c r="K56" t="b">
        <v>0</v>
      </c>
      <c r="L56" s="2" t="s">
        <v>130</v>
      </c>
    </row>
    <row r="57" spans="1:12" x14ac:dyDescent="0.3">
      <c r="A57" s="2" t="s">
        <v>8</v>
      </c>
      <c r="B57" s="2" t="s">
        <v>22</v>
      </c>
      <c r="C57">
        <v>22</v>
      </c>
      <c r="D57" s="2" t="s">
        <v>189</v>
      </c>
      <c r="E57" s="2" t="s">
        <v>44</v>
      </c>
      <c r="F57" s="2" t="s">
        <v>44</v>
      </c>
      <c r="G57" s="2" t="s">
        <v>46</v>
      </c>
      <c r="H57" s="2" t="s">
        <v>163</v>
      </c>
      <c r="I57" s="2" t="s">
        <v>133</v>
      </c>
      <c r="J57" s="2" t="s">
        <v>168</v>
      </c>
      <c r="K57" t="b">
        <v>0</v>
      </c>
      <c r="L57" s="2" t="s">
        <v>130</v>
      </c>
    </row>
    <row r="58" spans="1:12" x14ac:dyDescent="0.3">
      <c r="A58" s="2" t="s">
        <v>8</v>
      </c>
      <c r="B58" s="2" t="s">
        <v>22</v>
      </c>
      <c r="C58">
        <v>23</v>
      </c>
      <c r="D58" s="2" t="s">
        <v>190</v>
      </c>
      <c r="E58" s="2" t="s">
        <v>45</v>
      </c>
      <c r="F58" s="2" t="s">
        <v>45</v>
      </c>
      <c r="G58" s="2" t="s">
        <v>46</v>
      </c>
      <c r="H58" s="2" t="s">
        <v>163</v>
      </c>
      <c r="I58" s="2" t="s">
        <v>133</v>
      </c>
      <c r="J58" s="2" t="s">
        <v>168</v>
      </c>
      <c r="K58" t="b">
        <v>0</v>
      </c>
      <c r="L58" s="2" t="s">
        <v>130</v>
      </c>
    </row>
    <row r="59" spans="1:12" hidden="1" x14ac:dyDescent="0.3">
      <c r="A59" s="2" t="s">
        <v>8</v>
      </c>
      <c r="B59" s="2" t="s">
        <v>23</v>
      </c>
      <c r="C59">
        <v>1</v>
      </c>
      <c r="D59" s="2" t="s">
        <v>191</v>
      </c>
      <c r="E59" s="2" t="s">
        <v>21</v>
      </c>
      <c r="F59" s="2" t="s">
        <v>21</v>
      </c>
      <c r="G59" s="2" t="s">
        <v>36</v>
      </c>
      <c r="H59" s="2" t="s">
        <v>132</v>
      </c>
      <c r="I59" s="2" t="s">
        <v>133</v>
      </c>
      <c r="J59" s="2" t="s">
        <v>192</v>
      </c>
      <c r="K59" t="b">
        <v>0</v>
      </c>
      <c r="L59" s="2" t="s">
        <v>130</v>
      </c>
    </row>
    <row r="60" spans="1:12" hidden="1" x14ac:dyDescent="0.3">
      <c r="A60" s="2" t="s">
        <v>8</v>
      </c>
      <c r="B60" s="2" t="s">
        <v>23</v>
      </c>
      <c r="C60">
        <v>2</v>
      </c>
      <c r="D60" s="2" t="s">
        <v>193</v>
      </c>
      <c r="E60" s="2" t="s">
        <v>28</v>
      </c>
      <c r="F60" s="2" t="s">
        <v>28</v>
      </c>
      <c r="G60" s="2" t="s">
        <v>36</v>
      </c>
      <c r="H60" s="2" t="s">
        <v>132</v>
      </c>
      <c r="I60" s="2" t="s">
        <v>133</v>
      </c>
      <c r="J60" s="2" t="s">
        <v>192</v>
      </c>
      <c r="K60" t="b">
        <v>0</v>
      </c>
      <c r="L60" s="2" t="s">
        <v>130</v>
      </c>
    </row>
    <row r="61" spans="1:12" hidden="1" x14ac:dyDescent="0.3">
      <c r="A61" s="2" t="s">
        <v>8</v>
      </c>
      <c r="B61" s="2" t="s">
        <v>23</v>
      </c>
      <c r="C61">
        <v>3</v>
      </c>
      <c r="D61" s="2" t="s">
        <v>194</v>
      </c>
      <c r="E61" s="2" t="s">
        <v>30</v>
      </c>
      <c r="F61" s="2" t="s">
        <v>30</v>
      </c>
      <c r="G61" s="2" t="s">
        <v>36</v>
      </c>
      <c r="H61" s="2" t="s">
        <v>132</v>
      </c>
      <c r="I61" s="2" t="s">
        <v>133</v>
      </c>
      <c r="J61" s="2" t="s">
        <v>192</v>
      </c>
      <c r="K61" t="b">
        <v>0</v>
      </c>
      <c r="L61" s="2" t="s">
        <v>130</v>
      </c>
    </row>
    <row r="62" spans="1:12" hidden="1" x14ac:dyDescent="0.3">
      <c r="A62" s="2" t="s">
        <v>8</v>
      </c>
      <c r="B62" s="2" t="s">
        <v>23</v>
      </c>
      <c r="C62">
        <v>4</v>
      </c>
      <c r="D62" s="2" t="s">
        <v>195</v>
      </c>
      <c r="E62" s="2" t="s">
        <v>51</v>
      </c>
      <c r="F62" s="2" t="s">
        <v>51</v>
      </c>
      <c r="G62" s="2" t="s">
        <v>36</v>
      </c>
      <c r="H62" s="2" t="s">
        <v>132</v>
      </c>
      <c r="I62" s="2" t="s">
        <v>133</v>
      </c>
      <c r="J62" s="2" t="s">
        <v>192</v>
      </c>
      <c r="K62" t="b">
        <v>0</v>
      </c>
      <c r="L62" s="2" t="s">
        <v>130</v>
      </c>
    </row>
    <row r="63" spans="1:12" hidden="1" x14ac:dyDescent="0.3">
      <c r="A63" s="2" t="s">
        <v>8</v>
      </c>
      <c r="B63" s="2" t="s">
        <v>23</v>
      </c>
      <c r="C63">
        <v>5</v>
      </c>
      <c r="D63" s="2" t="s">
        <v>196</v>
      </c>
      <c r="E63" s="2" t="s">
        <v>32</v>
      </c>
      <c r="F63" s="2" t="s">
        <v>32</v>
      </c>
      <c r="G63" s="2" t="s">
        <v>36</v>
      </c>
      <c r="H63" s="2" t="s">
        <v>132</v>
      </c>
      <c r="I63" s="2" t="s">
        <v>133</v>
      </c>
      <c r="J63" s="2" t="s">
        <v>192</v>
      </c>
      <c r="K63" t="b">
        <v>0</v>
      </c>
      <c r="L63" s="2" t="s">
        <v>130</v>
      </c>
    </row>
    <row r="64" spans="1:12" hidden="1" x14ac:dyDescent="0.3">
      <c r="A64" s="2" t="s">
        <v>8</v>
      </c>
      <c r="B64" s="2" t="s">
        <v>23</v>
      </c>
      <c r="C64">
        <v>6</v>
      </c>
      <c r="D64" s="2" t="s">
        <v>197</v>
      </c>
      <c r="E64" s="2" t="s">
        <v>48</v>
      </c>
      <c r="F64" s="2" t="s">
        <v>48</v>
      </c>
      <c r="G64" s="2" t="s">
        <v>36</v>
      </c>
      <c r="H64" s="2" t="s">
        <v>132</v>
      </c>
      <c r="I64" s="2" t="s">
        <v>133</v>
      </c>
      <c r="J64" s="2" t="s">
        <v>192</v>
      </c>
      <c r="K64" t="b">
        <v>0</v>
      </c>
      <c r="L64" s="2" t="s">
        <v>130</v>
      </c>
    </row>
    <row r="65" spans="1:12" hidden="1" x14ac:dyDescent="0.3">
      <c r="A65" s="2" t="s">
        <v>8</v>
      </c>
      <c r="B65" s="2" t="s">
        <v>23</v>
      </c>
      <c r="C65">
        <v>7</v>
      </c>
      <c r="D65" s="2" t="s">
        <v>198</v>
      </c>
      <c r="E65" s="2" t="s">
        <v>7</v>
      </c>
      <c r="F65" s="2" t="s">
        <v>7</v>
      </c>
      <c r="G65" s="2" t="s">
        <v>36</v>
      </c>
      <c r="H65" s="2" t="s">
        <v>132</v>
      </c>
      <c r="I65" s="2" t="s">
        <v>133</v>
      </c>
      <c r="J65" s="2" t="s">
        <v>192</v>
      </c>
      <c r="K65" t="b">
        <v>0</v>
      </c>
      <c r="L65" s="2" t="s">
        <v>130</v>
      </c>
    </row>
    <row r="66" spans="1:12" hidden="1" x14ac:dyDescent="0.3">
      <c r="A66" s="2" t="s">
        <v>8</v>
      </c>
      <c r="B66" s="2" t="s">
        <v>23</v>
      </c>
      <c r="C66">
        <v>8</v>
      </c>
      <c r="D66" s="2" t="s">
        <v>199</v>
      </c>
      <c r="E66" s="2" t="s">
        <v>31</v>
      </c>
      <c r="F66" s="2" t="s">
        <v>31</v>
      </c>
      <c r="G66" s="2" t="s">
        <v>36</v>
      </c>
      <c r="H66" s="2" t="s">
        <v>132</v>
      </c>
      <c r="I66" s="2" t="s">
        <v>133</v>
      </c>
      <c r="J66" s="2" t="s">
        <v>192</v>
      </c>
      <c r="K66" t="b">
        <v>0</v>
      </c>
      <c r="L66" s="2" t="s">
        <v>130</v>
      </c>
    </row>
    <row r="67" spans="1:12" hidden="1" x14ac:dyDescent="0.3">
      <c r="A67" s="2" t="s">
        <v>8</v>
      </c>
      <c r="B67" s="2" t="s">
        <v>23</v>
      </c>
      <c r="C67">
        <v>9</v>
      </c>
      <c r="D67" s="2" t="s">
        <v>200</v>
      </c>
      <c r="E67" s="2" t="s">
        <v>33</v>
      </c>
      <c r="F67" s="2" t="s">
        <v>33</v>
      </c>
      <c r="G67" s="2" t="s">
        <v>36</v>
      </c>
      <c r="H67" s="2" t="s">
        <v>132</v>
      </c>
      <c r="I67" s="2" t="s">
        <v>133</v>
      </c>
      <c r="J67" s="2" t="s">
        <v>192</v>
      </c>
      <c r="K67" t="b">
        <v>0</v>
      </c>
      <c r="L67" s="2" t="s">
        <v>130</v>
      </c>
    </row>
    <row r="68" spans="1:12" hidden="1" x14ac:dyDescent="0.3">
      <c r="A68" s="2" t="s">
        <v>8</v>
      </c>
      <c r="B68" s="2" t="s">
        <v>23</v>
      </c>
      <c r="C68">
        <v>10</v>
      </c>
      <c r="D68" s="2" t="s">
        <v>201</v>
      </c>
      <c r="E68" s="2" t="s">
        <v>50</v>
      </c>
      <c r="F68" s="2" t="s">
        <v>50</v>
      </c>
      <c r="G68" s="2" t="s">
        <v>36</v>
      </c>
      <c r="H68" s="2" t="s">
        <v>132</v>
      </c>
      <c r="I68" s="2" t="s">
        <v>133</v>
      </c>
      <c r="J68" s="2" t="s">
        <v>192</v>
      </c>
      <c r="K68" t="b">
        <v>0</v>
      </c>
      <c r="L68" s="2" t="s">
        <v>130</v>
      </c>
    </row>
    <row r="69" spans="1:12" hidden="1" x14ac:dyDescent="0.3">
      <c r="A69" s="2" t="s">
        <v>8</v>
      </c>
      <c r="B69" s="2" t="s">
        <v>23</v>
      </c>
      <c r="C69">
        <v>11</v>
      </c>
      <c r="D69" s="2" t="s">
        <v>202</v>
      </c>
      <c r="E69" s="2" t="s">
        <v>17</v>
      </c>
      <c r="F69" s="2" t="s">
        <v>17</v>
      </c>
      <c r="G69" s="2" t="s">
        <v>36</v>
      </c>
      <c r="H69" s="2" t="s">
        <v>132</v>
      </c>
      <c r="I69" s="2" t="s">
        <v>133</v>
      </c>
      <c r="J69" s="2" t="s">
        <v>192</v>
      </c>
      <c r="K69" t="b">
        <v>0</v>
      </c>
      <c r="L69" s="2" t="s">
        <v>130</v>
      </c>
    </row>
    <row r="70" spans="1:12" hidden="1" x14ac:dyDescent="0.3">
      <c r="A70" s="2" t="s">
        <v>8</v>
      </c>
      <c r="B70" s="2" t="s">
        <v>23</v>
      </c>
      <c r="C70">
        <v>12</v>
      </c>
      <c r="D70" s="2" t="s">
        <v>203</v>
      </c>
      <c r="E70" s="2" t="s">
        <v>11</v>
      </c>
      <c r="F70" s="2" t="s">
        <v>11</v>
      </c>
      <c r="G70" s="2" t="s">
        <v>36</v>
      </c>
      <c r="H70" s="2" t="s">
        <v>132</v>
      </c>
      <c r="I70" s="2" t="s">
        <v>133</v>
      </c>
      <c r="J70" s="2" t="s">
        <v>192</v>
      </c>
      <c r="K70" t="b">
        <v>0</v>
      </c>
      <c r="L70" s="2" t="s">
        <v>130</v>
      </c>
    </row>
    <row r="71" spans="1:12" hidden="1" x14ac:dyDescent="0.3">
      <c r="A71" s="2" t="s">
        <v>8</v>
      </c>
      <c r="B71" s="2" t="s">
        <v>23</v>
      </c>
      <c r="C71">
        <v>13</v>
      </c>
      <c r="D71" s="2" t="s">
        <v>204</v>
      </c>
      <c r="E71" s="2" t="s">
        <v>14</v>
      </c>
      <c r="F71" s="2" t="s">
        <v>146</v>
      </c>
      <c r="G71" s="2" t="s">
        <v>36</v>
      </c>
      <c r="H71" s="2" t="s">
        <v>132</v>
      </c>
      <c r="I71" s="2" t="s">
        <v>133</v>
      </c>
      <c r="J71" s="2" t="s">
        <v>192</v>
      </c>
      <c r="K71" t="b">
        <v>1</v>
      </c>
      <c r="L71" s="2" t="s">
        <v>130</v>
      </c>
    </row>
    <row r="72" spans="1:12" hidden="1" x14ac:dyDescent="0.3">
      <c r="A72" s="2" t="s">
        <v>8</v>
      </c>
      <c r="B72" s="2" t="s">
        <v>23</v>
      </c>
      <c r="C72">
        <v>14</v>
      </c>
      <c r="D72" s="2" t="s">
        <v>205</v>
      </c>
      <c r="E72" s="2" t="s">
        <v>25</v>
      </c>
      <c r="F72" s="2" t="s">
        <v>25</v>
      </c>
      <c r="G72" s="2" t="s">
        <v>36</v>
      </c>
      <c r="H72" s="2" t="s">
        <v>132</v>
      </c>
      <c r="I72" s="2" t="s">
        <v>133</v>
      </c>
      <c r="J72" s="2" t="s">
        <v>192</v>
      </c>
      <c r="K72" t="b">
        <v>0</v>
      </c>
      <c r="L72" s="2" t="s">
        <v>130</v>
      </c>
    </row>
    <row r="73" spans="1:12" hidden="1" x14ac:dyDescent="0.3">
      <c r="A73" s="2" t="s">
        <v>8</v>
      </c>
      <c r="B73" s="2" t="s">
        <v>23</v>
      </c>
      <c r="C73">
        <v>15</v>
      </c>
      <c r="D73" s="2" t="s">
        <v>206</v>
      </c>
      <c r="E73" s="2" t="s">
        <v>26</v>
      </c>
      <c r="F73" s="2" t="s">
        <v>26</v>
      </c>
      <c r="G73" s="2" t="s">
        <v>36</v>
      </c>
      <c r="H73" s="2" t="s">
        <v>132</v>
      </c>
      <c r="I73" s="2" t="s">
        <v>133</v>
      </c>
      <c r="J73" s="2" t="s">
        <v>192</v>
      </c>
      <c r="K73" t="b">
        <v>0</v>
      </c>
      <c r="L73" s="2" t="s">
        <v>130</v>
      </c>
    </row>
    <row r="74" spans="1:12" hidden="1" x14ac:dyDescent="0.3">
      <c r="A74" s="2" t="s">
        <v>8</v>
      </c>
      <c r="B74" s="2" t="s">
        <v>23</v>
      </c>
      <c r="C74">
        <v>16</v>
      </c>
      <c r="D74" s="2" t="s">
        <v>207</v>
      </c>
      <c r="E74" s="2" t="s">
        <v>27</v>
      </c>
      <c r="F74" s="2" t="s">
        <v>27</v>
      </c>
      <c r="G74" s="2" t="s">
        <v>36</v>
      </c>
      <c r="H74" s="2" t="s">
        <v>132</v>
      </c>
      <c r="I74" s="2" t="s">
        <v>133</v>
      </c>
      <c r="J74" s="2" t="s">
        <v>192</v>
      </c>
      <c r="K74" t="b">
        <v>0</v>
      </c>
      <c r="L74" s="2" t="s">
        <v>130</v>
      </c>
    </row>
    <row r="75" spans="1:12" hidden="1" x14ac:dyDescent="0.3">
      <c r="A75" s="2" t="s">
        <v>8</v>
      </c>
      <c r="B75" s="2" t="s">
        <v>23</v>
      </c>
      <c r="C75">
        <v>17</v>
      </c>
      <c r="D75" s="2" t="s">
        <v>208</v>
      </c>
      <c r="E75" s="2" t="s">
        <v>47</v>
      </c>
      <c r="F75" s="2" t="s">
        <v>47</v>
      </c>
      <c r="G75" s="2" t="s">
        <v>36</v>
      </c>
      <c r="H75" s="2" t="s">
        <v>132</v>
      </c>
      <c r="I75" s="2" t="s">
        <v>133</v>
      </c>
      <c r="J75" s="2" t="s">
        <v>192</v>
      </c>
      <c r="K75" t="b">
        <v>0</v>
      </c>
      <c r="L75" s="2" t="s">
        <v>130</v>
      </c>
    </row>
    <row r="76" spans="1:12" hidden="1" x14ac:dyDescent="0.3">
      <c r="A76" s="2" t="s">
        <v>8</v>
      </c>
      <c r="B76" s="2" t="s">
        <v>23</v>
      </c>
      <c r="C76">
        <v>18</v>
      </c>
      <c r="D76" s="2" t="s">
        <v>209</v>
      </c>
      <c r="E76" s="2" t="s">
        <v>24</v>
      </c>
      <c r="F76" s="2" t="s">
        <v>24</v>
      </c>
      <c r="G76" s="2" t="s">
        <v>36</v>
      </c>
      <c r="H76" s="2" t="s">
        <v>132</v>
      </c>
      <c r="I76" s="2" t="s">
        <v>133</v>
      </c>
      <c r="J76" s="2" t="s">
        <v>192</v>
      </c>
      <c r="K76" t="b">
        <v>0</v>
      </c>
      <c r="L76" s="2" t="s">
        <v>130</v>
      </c>
    </row>
    <row r="77" spans="1:12" hidden="1" x14ac:dyDescent="0.3">
      <c r="A77" s="2" t="s">
        <v>8</v>
      </c>
      <c r="B77" s="2" t="s">
        <v>23</v>
      </c>
      <c r="C77">
        <v>19</v>
      </c>
      <c r="D77" s="2" t="s">
        <v>210</v>
      </c>
      <c r="E77" s="2" t="s">
        <v>19</v>
      </c>
      <c r="F77" s="2" t="s">
        <v>19</v>
      </c>
      <c r="G77" s="2" t="s">
        <v>36</v>
      </c>
      <c r="H77" s="2" t="s">
        <v>132</v>
      </c>
      <c r="I77" s="2" t="s">
        <v>133</v>
      </c>
      <c r="J77" s="2" t="s">
        <v>192</v>
      </c>
      <c r="K77" t="b">
        <v>0</v>
      </c>
      <c r="L77" s="2" t="s">
        <v>130</v>
      </c>
    </row>
    <row r="78" spans="1:12" hidden="1" x14ac:dyDescent="0.3">
      <c r="A78" s="2" t="s">
        <v>8</v>
      </c>
      <c r="B78" s="2" t="s">
        <v>23</v>
      </c>
      <c r="C78">
        <v>20</v>
      </c>
      <c r="D78" s="2" t="s">
        <v>211</v>
      </c>
      <c r="E78" s="2" t="s">
        <v>13</v>
      </c>
      <c r="F78" s="2" t="s">
        <v>13</v>
      </c>
      <c r="G78" s="2" t="s">
        <v>36</v>
      </c>
      <c r="H78" s="2" t="s">
        <v>132</v>
      </c>
      <c r="I78" s="2" t="s">
        <v>133</v>
      </c>
      <c r="J78" s="2" t="s">
        <v>192</v>
      </c>
      <c r="K78" t="b">
        <v>0</v>
      </c>
      <c r="L78" s="2" t="s">
        <v>130</v>
      </c>
    </row>
    <row r="79" spans="1:12" hidden="1" x14ac:dyDescent="0.3">
      <c r="A79" s="2" t="s">
        <v>8</v>
      </c>
      <c r="B79" s="2" t="s">
        <v>23</v>
      </c>
      <c r="C79">
        <v>21</v>
      </c>
      <c r="D79" s="2" t="s">
        <v>212</v>
      </c>
      <c r="E79" s="2" t="s">
        <v>16</v>
      </c>
      <c r="F79" s="2" t="s">
        <v>155</v>
      </c>
      <c r="G79" s="2" t="s">
        <v>36</v>
      </c>
      <c r="H79" s="2" t="s">
        <v>132</v>
      </c>
      <c r="I79" s="2" t="s">
        <v>133</v>
      </c>
      <c r="J79" s="2" t="s">
        <v>192</v>
      </c>
      <c r="K79" t="b">
        <v>1</v>
      </c>
      <c r="L79" s="2" t="s">
        <v>130</v>
      </c>
    </row>
    <row r="80" spans="1:12" hidden="1" x14ac:dyDescent="0.3">
      <c r="A80" s="2" t="s">
        <v>8</v>
      </c>
      <c r="B80" s="2" t="s">
        <v>23</v>
      </c>
      <c r="C80">
        <v>22</v>
      </c>
      <c r="D80" s="2" t="s">
        <v>213</v>
      </c>
      <c r="E80" s="2" t="s">
        <v>18</v>
      </c>
      <c r="F80" s="2" t="s">
        <v>18</v>
      </c>
      <c r="G80" s="2" t="s">
        <v>36</v>
      </c>
      <c r="H80" s="2" t="s">
        <v>132</v>
      </c>
      <c r="I80" s="2" t="s">
        <v>133</v>
      </c>
      <c r="J80" s="2" t="s">
        <v>192</v>
      </c>
      <c r="K80" t="b">
        <v>0</v>
      </c>
      <c r="L80" s="2" t="s">
        <v>130</v>
      </c>
    </row>
    <row r="81" spans="1:12" hidden="1" x14ac:dyDescent="0.3">
      <c r="A81" s="2" t="s">
        <v>8</v>
      </c>
      <c r="B81" s="2" t="s">
        <v>23</v>
      </c>
      <c r="C81">
        <v>23</v>
      </c>
      <c r="D81" s="2" t="s">
        <v>214</v>
      </c>
      <c r="E81" s="2" t="s">
        <v>49</v>
      </c>
      <c r="F81" s="2" t="s">
        <v>49</v>
      </c>
      <c r="G81" s="2" t="s">
        <v>38</v>
      </c>
      <c r="H81" s="2" t="s">
        <v>158</v>
      </c>
      <c r="I81" s="2" t="s">
        <v>133</v>
      </c>
      <c r="J81" s="2" t="s">
        <v>192</v>
      </c>
      <c r="K81" t="b">
        <v>0</v>
      </c>
      <c r="L81" s="2" t="s">
        <v>130</v>
      </c>
    </row>
    <row r="82" spans="1:12" hidden="1" x14ac:dyDescent="0.3">
      <c r="A82" s="2" t="s">
        <v>8</v>
      </c>
      <c r="B82" s="2" t="s">
        <v>23</v>
      </c>
      <c r="C82">
        <v>24</v>
      </c>
      <c r="D82" s="2" t="s">
        <v>215</v>
      </c>
      <c r="E82" s="2" t="s">
        <v>37</v>
      </c>
      <c r="F82" s="2" t="s">
        <v>37</v>
      </c>
      <c r="G82" s="2" t="s">
        <v>38</v>
      </c>
      <c r="H82" s="2" t="s">
        <v>158</v>
      </c>
      <c r="I82" s="2" t="s">
        <v>133</v>
      </c>
      <c r="J82" s="2" t="s">
        <v>192</v>
      </c>
      <c r="K82" t="b">
        <v>0</v>
      </c>
      <c r="L82" s="2" t="s">
        <v>130</v>
      </c>
    </row>
    <row r="83" spans="1:12" hidden="1" x14ac:dyDescent="0.3">
      <c r="A83" s="2" t="s">
        <v>8</v>
      </c>
      <c r="B83" s="2" t="s">
        <v>23</v>
      </c>
      <c r="C83">
        <v>25</v>
      </c>
      <c r="D83" s="2" t="s">
        <v>216</v>
      </c>
      <c r="E83" s="2" t="s">
        <v>40</v>
      </c>
      <c r="F83" s="2" t="s">
        <v>40</v>
      </c>
      <c r="G83" s="2" t="s">
        <v>38</v>
      </c>
      <c r="H83" s="2" t="s">
        <v>158</v>
      </c>
      <c r="I83" s="2" t="s">
        <v>133</v>
      </c>
      <c r="J83" s="2" t="s">
        <v>192</v>
      </c>
      <c r="K83" t="b">
        <v>0</v>
      </c>
      <c r="L83" s="2" t="s">
        <v>130</v>
      </c>
    </row>
    <row r="84" spans="1:12" hidden="1" x14ac:dyDescent="0.3">
      <c r="A84" s="2" t="s">
        <v>8</v>
      </c>
      <c r="B84" s="2" t="s">
        <v>23</v>
      </c>
      <c r="C84">
        <v>26</v>
      </c>
      <c r="D84" s="2" t="s">
        <v>217</v>
      </c>
      <c r="E84" s="2" t="s">
        <v>41</v>
      </c>
      <c r="F84" s="2" t="s">
        <v>41</v>
      </c>
      <c r="G84" s="2" t="s">
        <v>38</v>
      </c>
      <c r="H84" s="2" t="s">
        <v>158</v>
      </c>
      <c r="I84" s="2" t="s">
        <v>133</v>
      </c>
      <c r="J84" s="2" t="s">
        <v>192</v>
      </c>
      <c r="K84" t="b">
        <v>0</v>
      </c>
      <c r="L84" s="2" t="s">
        <v>130</v>
      </c>
    </row>
    <row r="85" spans="1:12" hidden="1" x14ac:dyDescent="0.3">
      <c r="A85" s="2" t="s">
        <v>8</v>
      </c>
      <c r="B85" s="2" t="s">
        <v>23</v>
      </c>
      <c r="C85">
        <v>27</v>
      </c>
      <c r="D85" s="2" t="s">
        <v>218</v>
      </c>
      <c r="E85" s="2" t="s">
        <v>39</v>
      </c>
      <c r="F85" s="2" t="s">
        <v>39</v>
      </c>
      <c r="G85" s="2" t="s">
        <v>38</v>
      </c>
      <c r="H85" s="2" t="s">
        <v>158</v>
      </c>
      <c r="I85" s="2" t="s">
        <v>133</v>
      </c>
      <c r="J85" s="2" t="s">
        <v>192</v>
      </c>
      <c r="K85" t="b">
        <v>0</v>
      </c>
      <c r="L85" s="2" t="s">
        <v>130</v>
      </c>
    </row>
    <row r="86" spans="1:12" hidden="1" x14ac:dyDescent="0.3">
      <c r="A86" s="2" t="s">
        <v>8</v>
      </c>
      <c r="B86" s="2" t="s">
        <v>23</v>
      </c>
      <c r="C86">
        <v>28</v>
      </c>
      <c r="D86" s="2" t="s">
        <v>219</v>
      </c>
      <c r="E86" s="2" t="s">
        <v>42</v>
      </c>
      <c r="F86" s="2" t="s">
        <v>42</v>
      </c>
      <c r="G86" s="2" t="s">
        <v>46</v>
      </c>
      <c r="H86" s="2" t="s">
        <v>163</v>
      </c>
      <c r="I86" s="2" t="s">
        <v>133</v>
      </c>
      <c r="J86" s="2" t="s">
        <v>192</v>
      </c>
      <c r="K86" t="b">
        <v>0</v>
      </c>
      <c r="L86" s="2" t="s">
        <v>130</v>
      </c>
    </row>
    <row r="87" spans="1:12" hidden="1" x14ac:dyDescent="0.3">
      <c r="A87" s="2" t="s">
        <v>8</v>
      </c>
      <c r="B87" s="2" t="s">
        <v>23</v>
      </c>
      <c r="C87">
        <v>29</v>
      </c>
      <c r="D87" s="2" t="s">
        <v>220</v>
      </c>
      <c r="E87" s="2" t="s">
        <v>43</v>
      </c>
      <c r="F87" s="2" t="s">
        <v>43</v>
      </c>
      <c r="G87" s="2" t="s">
        <v>46</v>
      </c>
      <c r="H87" s="2" t="s">
        <v>163</v>
      </c>
      <c r="I87" s="2" t="s">
        <v>133</v>
      </c>
      <c r="J87" s="2" t="s">
        <v>192</v>
      </c>
      <c r="K87" t="b">
        <v>0</v>
      </c>
      <c r="L87" s="2" t="s">
        <v>130</v>
      </c>
    </row>
    <row r="88" spans="1:12" hidden="1" x14ac:dyDescent="0.3">
      <c r="A88" s="2" t="s">
        <v>8</v>
      </c>
      <c r="B88" s="2" t="s">
        <v>23</v>
      </c>
      <c r="C88">
        <v>30</v>
      </c>
      <c r="D88" s="2" t="s">
        <v>221</v>
      </c>
      <c r="E88" s="2" t="s">
        <v>44</v>
      </c>
      <c r="F88" s="2" t="s">
        <v>44</v>
      </c>
      <c r="G88" s="2" t="s">
        <v>46</v>
      </c>
      <c r="H88" s="2" t="s">
        <v>163</v>
      </c>
      <c r="I88" s="2" t="s">
        <v>133</v>
      </c>
      <c r="J88" s="2" t="s">
        <v>192</v>
      </c>
      <c r="K88" t="b">
        <v>0</v>
      </c>
      <c r="L88" s="2" t="s">
        <v>130</v>
      </c>
    </row>
    <row r="89" spans="1:12" hidden="1" x14ac:dyDescent="0.3">
      <c r="A89" s="2" t="s">
        <v>8</v>
      </c>
      <c r="B89" s="2" t="s">
        <v>23</v>
      </c>
      <c r="C89">
        <v>31</v>
      </c>
      <c r="D89" s="2" t="s">
        <v>222</v>
      </c>
      <c r="E89" s="2" t="s">
        <v>45</v>
      </c>
      <c r="F89" s="2" t="s">
        <v>45</v>
      </c>
      <c r="G89" s="2" t="s">
        <v>46</v>
      </c>
      <c r="H89" s="2" t="s">
        <v>163</v>
      </c>
      <c r="I89" s="2" t="s">
        <v>133</v>
      </c>
      <c r="J89" s="2" t="s">
        <v>192</v>
      </c>
      <c r="K89" t="b">
        <v>0</v>
      </c>
      <c r="L89" s="2" t="s">
        <v>130</v>
      </c>
    </row>
    <row r="90" spans="1:12" hidden="1" x14ac:dyDescent="0.3">
      <c r="A90" s="2" t="s">
        <v>8</v>
      </c>
      <c r="B90" s="2" t="s">
        <v>223</v>
      </c>
      <c r="C90">
        <v>1</v>
      </c>
      <c r="D90" s="2" t="s">
        <v>224</v>
      </c>
      <c r="E90" s="2" t="s">
        <v>56</v>
      </c>
      <c r="F90" s="2" t="s">
        <v>225</v>
      </c>
      <c r="G90" s="2" t="s">
        <v>36</v>
      </c>
      <c r="H90" s="2" t="s">
        <v>132</v>
      </c>
      <c r="I90" s="2" t="s">
        <v>133</v>
      </c>
      <c r="J90" s="2" t="s">
        <v>226</v>
      </c>
      <c r="K90" t="b">
        <v>1</v>
      </c>
      <c r="L90" s="2" t="s">
        <v>130</v>
      </c>
    </row>
    <row r="91" spans="1:12" hidden="1" x14ac:dyDescent="0.3">
      <c r="A91" s="2" t="s">
        <v>8</v>
      </c>
      <c r="B91" s="2" t="s">
        <v>223</v>
      </c>
      <c r="C91">
        <v>2</v>
      </c>
      <c r="D91" s="2" t="s">
        <v>227</v>
      </c>
      <c r="E91" s="2" t="s">
        <v>71</v>
      </c>
      <c r="F91" s="2" t="s">
        <v>228</v>
      </c>
      <c r="G91" s="2" t="s">
        <v>36</v>
      </c>
      <c r="H91" s="2" t="s">
        <v>132</v>
      </c>
      <c r="I91" s="2" t="s">
        <v>133</v>
      </c>
      <c r="J91" s="2" t="s">
        <v>226</v>
      </c>
      <c r="K91" t="b">
        <v>1</v>
      </c>
      <c r="L91" s="2" t="s">
        <v>130</v>
      </c>
    </row>
    <row r="92" spans="1:12" hidden="1" x14ac:dyDescent="0.3">
      <c r="A92" s="2" t="s">
        <v>8</v>
      </c>
      <c r="B92" s="2" t="s">
        <v>223</v>
      </c>
      <c r="C92">
        <v>3</v>
      </c>
      <c r="D92" s="2" t="s">
        <v>229</v>
      </c>
      <c r="E92" s="2" t="s">
        <v>28</v>
      </c>
      <c r="F92" s="2" t="s">
        <v>28</v>
      </c>
      <c r="G92" s="2" t="s">
        <v>36</v>
      </c>
      <c r="H92" s="2" t="s">
        <v>132</v>
      </c>
      <c r="I92" s="2" t="s">
        <v>133</v>
      </c>
      <c r="J92" s="2" t="s">
        <v>226</v>
      </c>
      <c r="K92" t="b">
        <v>0</v>
      </c>
      <c r="L92" s="2" t="s">
        <v>130</v>
      </c>
    </row>
    <row r="93" spans="1:12" hidden="1" x14ac:dyDescent="0.3">
      <c r="A93" s="2" t="s">
        <v>8</v>
      </c>
      <c r="B93" s="2" t="s">
        <v>223</v>
      </c>
      <c r="C93">
        <v>4</v>
      </c>
      <c r="D93" s="2" t="s">
        <v>230</v>
      </c>
      <c r="E93" s="2" t="s">
        <v>30</v>
      </c>
      <c r="F93" s="2" t="s">
        <v>30</v>
      </c>
      <c r="G93" s="2" t="s">
        <v>36</v>
      </c>
      <c r="H93" s="2" t="s">
        <v>132</v>
      </c>
      <c r="I93" s="2" t="s">
        <v>133</v>
      </c>
      <c r="J93" s="2" t="s">
        <v>226</v>
      </c>
      <c r="K93" t="b">
        <v>0</v>
      </c>
      <c r="L93" s="2" t="s">
        <v>130</v>
      </c>
    </row>
    <row r="94" spans="1:12" hidden="1" x14ac:dyDescent="0.3">
      <c r="A94" s="2" t="s">
        <v>8</v>
      </c>
      <c r="B94" s="2" t="s">
        <v>223</v>
      </c>
      <c r="C94">
        <v>5</v>
      </c>
      <c r="D94" s="2" t="s">
        <v>231</v>
      </c>
      <c r="E94" s="2" t="s">
        <v>51</v>
      </c>
      <c r="F94" s="2" t="s">
        <v>51</v>
      </c>
      <c r="G94" s="2" t="s">
        <v>36</v>
      </c>
      <c r="H94" s="2" t="s">
        <v>132</v>
      </c>
      <c r="I94" s="2" t="s">
        <v>133</v>
      </c>
      <c r="J94" s="2" t="s">
        <v>226</v>
      </c>
      <c r="K94" t="b">
        <v>0</v>
      </c>
      <c r="L94" s="2" t="s">
        <v>130</v>
      </c>
    </row>
    <row r="95" spans="1:12" hidden="1" x14ac:dyDescent="0.3">
      <c r="A95" s="2" t="s">
        <v>8</v>
      </c>
      <c r="B95" s="2" t="s">
        <v>223</v>
      </c>
      <c r="C95">
        <v>6</v>
      </c>
      <c r="D95" s="2" t="s">
        <v>232</v>
      </c>
      <c r="E95" s="2" t="s">
        <v>70</v>
      </c>
      <c r="F95" s="2" t="s">
        <v>70</v>
      </c>
      <c r="G95" s="2" t="s">
        <v>36</v>
      </c>
      <c r="H95" s="2" t="s">
        <v>132</v>
      </c>
      <c r="I95" s="2" t="s">
        <v>133</v>
      </c>
      <c r="J95" s="2" t="s">
        <v>226</v>
      </c>
      <c r="K95" t="b">
        <v>0</v>
      </c>
      <c r="L95" s="2" t="s">
        <v>130</v>
      </c>
    </row>
    <row r="96" spans="1:12" hidden="1" x14ac:dyDescent="0.3">
      <c r="A96" s="2" t="s">
        <v>8</v>
      </c>
      <c r="B96" s="2" t="s">
        <v>223</v>
      </c>
      <c r="C96">
        <v>7</v>
      </c>
      <c r="D96" s="2" t="s">
        <v>233</v>
      </c>
      <c r="E96" s="2" t="s">
        <v>48</v>
      </c>
      <c r="F96" s="2" t="s">
        <v>48</v>
      </c>
      <c r="G96" s="2" t="s">
        <v>36</v>
      </c>
      <c r="H96" s="2" t="s">
        <v>132</v>
      </c>
      <c r="I96" s="2" t="s">
        <v>133</v>
      </c>
      <c r="J96" s="2" t="s">
        <v>226</v>
      </c>
      <c r="K96" t="b">
        <v>0</v>
      </c>
      <c r="L96" s="2" t="s">
        <v>130</v>
      </c>
    </row>
    <row r="97" spans="1:12" hidden="1" x14ac:dyDescent="0.3">
      <c r="A97" s="2" t="s">
        <v>8</v>
      </c>
      <c r="B97" s="2" t="s">
        <v>223</v>
      </c>
      <c r="C97">
        <v>8</v>
      </c>
      <c r="D97" s="2" t="s">
        <v>234</v>
      </c>
      <c r="E97" s="2" t="s">
        <v>7</v>
      </c>
      <c r="F97" s="2" t="s">
        <v>7</v>
      </c>
      <c r="G97" s="2" t="s">
        <v>36</v>
      </c>
      <c r="H97" s="2" t="s">
        <v>132</v>
      </c>
      <c r="I97" s="2" t="s">
        <v>133</v>
      </c>
      <c r="J97" s="2" t="s">
        <v>226</v>
      </c>
      <c r="K97" t="b">
        <v>0</v>
      </c>
      <c r="L97" s="2" t="s">
        <v>130</v>
      </c>
    </row>
    <row r="98" spans="1:12" hidden="1" x14ac:dyDescent="0.3">
      <c r="A98" s="2" t="s">
        <v>8</v>
      </c>
      <c r="B98" s="2" t="s">
        <v>223</v>
      </c>
      <c r="C98">
        <v>9</v>
      </c>
      <c r="D98" s="2" t="s">
        <v>235</v>
      </c>
      <c r="E98" s="2" t="s">
        <v>31</v>
      </c>
      <c r="F98" s="2" t="s">
        <v>31</v>
      </c>
      <c r="G98" s="2" t="s">
        <v>36</v>
      </c>
      <c r="H98" s="2" t="s">
        <v>132</v>
      </c>
      <c r="I98" s="2" t="s">
        <v>133</v>
      </c>
      <c r="J98" s="2" t="s">
        <v>226</v>
      </c>
      <c r="K98" t="b">
        <v>0</v>
      </c>
      <c r="L98" s="2" t="s">
        <v>130</v>
      </c>
    </row>
    <row r="99" spans="1:12" hidden="1" x14ac:dyDescent="0.3">
      <c r="A99" s="2" t="s">
        <v>8</v>
      </c>
      <c r="B99" s="2" t="s">
        <v>223</v>
      </c>
      <c r="C99">
        <v>10</v>
      </c>
      <c r="D99" s="2" t="s">
        <v>236</v>
      </c>
      <c r="E99" s="2" t="s">
        <v>33</v>
      </c>
      <c r="F99" s="2" t="s">
        <v>33</v>
      </c>
      <c r="G99" s="2" t="s">
        <v>36</v>
      </c>
      <c r="H99" s="2" t="s">
        <v>132</v>
      </c>
      <c r="I99" s="2" t="s">
        <v>133</v>
      </c>
      <c r="J99" s="2" t="s">
        <v>226</v>
      </c>
      <c r="K99" t="b">
        <v>0</v>
      </c>
      <c r="L99" s="2" t="s">
        <v>130</v>
      </c>
    </row>
    <row r="100" spans="1:12" hidden="1" x14ac:dyDescent="0.3">
      <c r="A100" s="2" t="s">
        <v>8</v>
      </c>
      <c r="B100" s="2" t="s">
        <v>223</v>
      </c>
      <c r="C100">
        <v>11</v>
      </c>
      <c r="D100" s="2" t="s">
        <v>237</v>
      </c>
      <c r="E100" s="2" t="s">
        <v>58</v>
      </c>
      <c r="F100" s="2" t="s">
        <v>58</v>
      </c>
      <c r="G100" s="2" t="s">
        <v>36</v>
      </c>
      <c r="H100" s="2" t="s">
        <v>132</v>
      </c>
      <c r="I100" s="2" t="s">
        <v>133</v>
      </c>
      <c r="J100" s="2" t="s">
        <v>226</v>
      </c>
      <c r="K100" t="b">
        <v>0</v>
      </c>
      <c r="L100" s="2" t="s">
        <v>130</v>
      </c>
    </row>
    <row r="101" spans="1:12" hidden="1" x14ac:dyDescent="0.3">
      <c r="A101" s="2" t="s">
        <v>8</v>
      </c>
      <c r="B101" s="2" t="s">
        <v>223</v>
      </c>
      <c r="C101">
        <v>12</v>
      </c>
      <c r="D101" s="2" t="s">
        <v>238</v>
      </c>
      <c r="E101" s="2" t="s">
        <v>59</v>
      </c>
      <c r="F101" s="2" t="s">
        <v>239</v>
      </c>
      <c r="G101" s="2" t="s">
        <v>36</v>
      </c>
      <c r="H101" s="2" t="s">
        <v>132</v>
      </c>
      <c r="I101" s="2" t="s">
        <v>133</v>
      </c>
      <c r="J101" s="2" t="s">
        <v>226</v>
      </c>
      <c r="K101" t="b">
        <v>1</v>
      </c>
      <c r="L101" s="2" t="s">
        <v>130</v>
      </c>
    </row>
    <row r="102" spans="1:12" hidden="1" x14ac:dyDescent="0.3">
      <c r="A102" s="2" t="s">
        <v>8</v>
      </c>
      <c r="B102" s="2" t="s">
        <v>223</v>
      </c>
      <c r="C102">
        <v>13</v>
      </c>
      <c r="D102" s="2" t="s">
        <v>240</v>
      </c>
      <c r="E102" s="2" t="s">
        <v>61</v>
      </c>
      <c r="F102" s="2" t="s">
        <v>241</v>
      </c>
      <c r="G102" s="2" t="s">
        <v>36</v>
      </c>
      <c r="H102" s="2" t="s">
        <v>132</v>
      </c>
      <c r="I102" s="2" t="s">
        <v>133</v>
      </c>
      <c r="J102" s="2" t="s">
        <v>226</v>
      </c>
      <c r="K102" t="b">
        <v>1</v>
      </c>
      <c r="L102" s="2" t="s">
        <v>130</v>
      </c>
    </row>
    <row r="103" spans="1:12" hidden="1" x14ac:dyDescent="0.3">
      <c r="A103" s="2" t="s">
        <v>8</v>
      </c>
      <c r="B103" s="2" t="s">
        <v>223</v>
      </c>
      <c r="C103">
        <v>14</v>
      </c>
      <c r="D103" s="2" t="s">
        <v>242</v>
      </c>
      <c r="E103" s="2" t="s">
        <v>62</v>
      </c>
      <c r="F103" s="2" t="s">
        <v>62</v>
      </c>
      <c r="G103" s="2" t="s">
        <v>36</v>
      </c>
      <c r="H103" s="2" t="s">
        <v>132</v>
      </c>
      <c r="I103" s="2" t="s">
        <v>133</v>
      </c>
      <c r="J103" s="2" t="s">
        <v>226</v>
      </c>
      <c r="K103" t="b">
        <v>0</v>
      </c>
      <c r="L103" s="2" t="s">
        <v>130</v>
      </c>
    </row>
    <row r="104" spans="1:12" hidden="1" x14ac:dyDescent="0.3">
      <c r="A104" s="2" t="s">
        <v>8</v>
      </c>
      <c r="B104" s="2" t="s">
        <v>223</v>
      </c>
      <c r="C104">
        <v>15</v>
      </c>
      <c r="D104" s="2" t="s">
        <v>243</v>
      </c>
      <c r="E104" s="2" t="s">
        <v>53</v>
      </c>
      <c r="F104" s="2" t="s">
        <v>53</v>
      </c>
      <c r="G104" s="2" t="s">
        <v>36</v>
      </c>
      <c r="H104" s="2" t="s">
        <v>132</v>
      </c>
      <c r="I104" s="2" t="s">
        <v>133</v>
      </c>
      <c r="J104" s="2" t="s">
        <v>226</v>
      </c>
      <c r="K104" t="b">
        <v>0</v>
      </c>
      <c r="L104" s="2" t="s">
        <v>130</v>
      </c>
    </row>
    <row r="105" spans="1:12" hidden="1" x14ac:dyDescent="0.3">
      <c r="A105" s="2" t="s">
        <v>8</v>
      </c>
      <c r="B105" s="2" t="s">
        <v>223</v>
      </c>
      <c r="C105">
        <v>16</v>
      </c>
      <c r="D105" s="2" t="s">
        <v>244</v>
      </c>
      <c r="E105" s="2" t="s">
        <v>17</v>
      </c>
      <c r="F105" s="2" t="s">
        <v>17</v>
      </c>
      <c r="G105" s="2" t="s">
        <v>36</v>
      </c>
      <c r="H105" s="2" t="s">
        <v>132</v>
      </c>
      <c r="I105" s="2" t="s">
        <v>133</v>
      </c>
      <c r="J105" s="2" t="s">
        <v>226</v>
      </c>
      <c r="K105" t="b">
        <v>0</v>
      </c>
      <c r="L105" s="2" t="s">
        <v>130</v>
      </c>
    </row>
    <row r="106" spans="1:12" hidden="1" x14ac:dyDescent="0.3">
      <c r="A106" s="2" t="s">
        <v>8</v>
      </c>
      <c r="B106" s="2" t="s">
        <v>223</v>
      </c>
      <c r="C106">
        <v>17</v>
      </c>
      <c r="D106" s="2" t="s">
        <v>245</v>
      </c>
      <c r="E106" s="2" t="s">
        <v>60</v>
      </c>
      <c r="F106" s="2" t="s">
        <v>60</v>
      </c>
      <c r="G106" s="2" t="s">
        <v>36</v>
      </c>
      <c r="H106" s="2" t="s">
        <v>132</v>
      </c>
      <c r="I106" s="2" t="s">
        <v>133</v>
      </c>
      <c r="J106" s="2" t="s">
        <v>226</v>
      </c>
      <c r="K106" t="b">
        <v>0</v>
      </c>
      <c r="L106" s="2" t="s">
        <v>130</v>
      </c>
    </row>
    <row r="107" spans="1:12" hidden="1" x14ac:dyDescent="0.3">
      <c r="A107" s="2" t="s">
        <v>8</v>
      </c>
      <c r="B107" s="2" t="s">
        <v>223</v>
      </c>
      <c r="C107">
        <v>18</v>
      </c>
      <c r="D107" s="2" t="s">
        <v>246</v>
      </c>
      <c r="E107" s="2" t="s">
        <v>11</v>
      </c>
      <c r="F107" s="2" t="s">
        <v>11</v>
      </c>
      <c r="G107" s="2" t="s">
        <v>36</v>
      </c>
      <c r="H107" s="2" t="s">
        <v>132</v>
      </c>
      <c r="I107" s="2" t="s">
        <v>133</v>
      </c>
      <c r="J107" s="2" t="s">
        <v>226</v>
      </c>
      <c r="K107" t="b">
        <v>0</v>
      </c>
      <c r="L107" s="2" t="s">
        <v>130</v>
      </c>
    </row>
    <row r="108" spans="1:12" hidden="1" x14ac:dyDescent="0.3">
      <c r="A108" s="2" t="s">
        <v>8</v>
      </c>
      <c r="B108" s="2" t="s">
        <v>223</v>
      </c>
      <c r="C108">
        <v>19</v>
      </c>
      <c r="D108" s="2" t="s">
        <v>247</v>
      </c>
      <c r="E108" s="2" t="s">
        <v>55</v>
      </c>
      <c r="F108" s="2" t="s">
        <v>55</v>
      </c>
      <c r="G108" s="2" t="s">
        <v>36</v>
      </c>
      <c r="H108" s="2" t="s">
        <v>132</v>
      </c>
      <c r="I108" s="2" t="s">
        <v>133</v>
      </c>
      <c r="J108" s="2" t="s">
        <v>226</v>
      </c>
      <c r="K108" t="b">
        <v>0</v>
      </c>
      <c r="L108" s="2" t="s">
        <v>130</v>
      </c>
    </row>
    <row r="109" spans="1:12" hidden="1" x14ac:dyDescent="0.3">
      <c r="A109" s="2" t="s">
        <v>8</v>
      </c>
      <c r="B109" s="2" t="s">
        <v>223</v>
      </c>
      <c r="C109">
        <v>20</v>
      </c>
      <c r="D109" s="2" t="s">
        <v>248</v>
      </c>
      <c r="E109" s="2" t="s">
        <v>14</v>
      </c>
      <c r="F109" s="2" t="s">
        <v>146</v>
      </c>
      <c r="G109" s="2" t="s">
        <v>36</v>
      </c>
      <c r="H109" s="2" t="s">
        <v>132</v>
      </c>
      <c r="I109" s="2" t="s">
        <v>133</v>
      </c>
      <c r="J109" s="2" t="s">
        <v>226</v>
      </c>
      <c r="K109" t="b">
        <v>1</v>
      </c>
      <c r="L109" s="2" t="s">
        <v>130</v>
      </c>
    </row>
    <row r="110" spans="1:12" hidden="1" x14ac:dyDescent="0.3">
      <c r="A110" s="2" t="s">
        <v>8</v>
      </c>
      <c r="B110" s="2" t="s">
        <v>223</v>
      </c>
      <c r="C110">
        <v>21</v>
      </c>
      <c r="D110" s="2" t="s">
        <v>249</v>
      </c>
      <c r="E110" s="2" t="s">
        <v>66</v>
      </c>
      <c r="F110" s="2" t="s">
        <v>66</v>
      </c>
      <c r="G110" s="2" t="s">
        <v>36</v>
      </c>
      <c r="H110" s="2" t="s">
        <v>132</v>
      </c>
      <c r="I110" s="2" t="s">
        <v>133</v>
      </c>
      <c r="J110" s="2" t="s">
        <v>226</v>
      </c>
      <c r="K110" t="b">
        <v>0</v>
      </c>
      <c r="L110" s="2" t="s">
        <v>130</v>
      </c>
    </row>
    <row r="111" spans="1:12" hidden="1" x14ac:dyDescent="0.3">
      <c r="A111" s="2" t="s">
        <v>8</v>
      </c>
      <c r="B111" s="2" t="s">
        <v>223</v>
      </c>
      <c r="C111">
        <v>22</v>
      </c>
      <c r="D111" s="2" t="s">
        <v>250</v>
      </c>
      <c r="E111" s="2" t="s">
        <v>25</v>
      </c>
      <c r="F111" s="2" t="s">
        <v>25</v>
      </c>
      <c r="G111" s="2" t="s">
        <v>36</v>
      </c>
      <c r="H111" s="2" t="s">
        <v>132</v>
      </c>
      <c r="I111" s="2" t="s">
        <v>133</v>
      </c>
      <c r="J111" s="2" t="s">
        <v>226</v>
      </c>
      <c r="K111" t="b">
        <v>0</v>
      </c>
      <c r="L111" s="2" t="s">
        <v>130</v>
      </c>
    </row>
    <row r="112" spans="1:12" hidden="1" x14ac:dyDescent="0.3">
      <c r="A112" s="2" t="s">
        <v>8</v>
      </c>
      <c r="B112" s="2" t="s">
        <v>223</v>
      </c>
      <c r="C112">
        <v>23</v>
      </c>
      <c r="D112" s="2" t="s">
        <v>251</v>
      </c>
      <c r="E112" s="2" t="s">
        <v>26</v>
      </c>
      <c r="F112" s="2" t="s">
        <v>26</v>
      </c>
      <c r="G112" s="2" t="s">
        <v>36</v>
      </c>
      <c r="H112" s="2" t="s">
        <v>132</v>
      </c>
      <c r="I112" s="2" t="s">
        <v>133</v>
      </c>
      <c r="J112" s="2" t="s">
        <v>226</v>
      </c>
      <c r="K112" t="b">
        <v>0</v>
      </c>
      <c r="L112" s="2" t="s">
        <v>130</v>
      </c>
    </row>
    <row r="113" spans="1:12" hidden="1" x14ac:dyDescent="0.3">
      <c r="A113" s="2" t="s">
        <v>8</v>
      </c>
      <c r="B113" s="2" t="s">
        <v>223</v>
      </c>
      <c r="C113">
        <v>24</v>
      </c>
      <c r="D113" s="2" t="s">
        <v>252</v>
      </c>
      <c r="E113" s="2" t="s">
        <v>27</v>
      </c>
      <c r="F113" s="2" t="s">
        <v>27</v>
      </c>
      <c r="G113" s="2" t="s">
        <v>36</v>
      </c>
      <c r="H113" s="2" t="s">
        <v>132</v>
      </c>
      <c r="I113" s="2" t="s">
        <v>133</v>
      </c>
      <c r="J113" s="2" t="s">
        <v>226</v>
      </c>
      <c r="K113" t="b">
        <v>0</v>
      </c>
      <c r="L113" s="2" t="s">
        <v>130</v>
      </c>
    </row>
    <row r="114" spans="1:12" hidden="1" x14ac:dyDescent="0.3">
      <c r="A114" s="2" t="s">
        <v>8</v>
      </c>
      <c r="B114" s="2" t="s">
        <v>223</v>
      </c>
      <c r="C114">
        <v>25</v>
      </c>
      <c r="D114" s="2" t="s">
        <v>253</v>
      </c>
      <c r="E114" s="2" t="s">
        <v>47</v>
      </c>
      <c r="F114" s="2" t="s">
        <v>47</v>
      </c>
      <c r="G114" s="2" t="s">
        <v>36</v>
      </c>
      <c r="H114" s="2" t="s">
        <v>132</v>
      </c>
      <c r="I114" s="2" t="s">
        <v>133</v>
      </c>
      <c r="J114" s="2" t="s">
        <v>226</v>
      </c>
      <c r="K114" t="b">
        <v>0</v>
      </c>
      <c r="L114" s="2" t="s">
        <v>130</v>
      </c>
    </row>
    <row r="115" spans="1:12" hidden="1" x14ac:dyDescent="0.3">
      <c r="A115" s="2" t="s">
        <v>8</v>
      </c>
      <c r="B115" s="2" t="s">
        <v>223</v>
      </c>
      <c r="C115">
        <v>26</v>
      </c>
      <c r="D115" s="2" t="s">
        <v>254</v>
      </c>
      <c r="E115" s="2" t="s">
        <v>24</v>
      </c>
      <c r="F115" s="2" t="s">
        <v>24</v>
      </c>
      <c r="G115" s="2" t="s">
        <v>36</v>
      </c>
      <c r="H115" s="2" t="s">
        <v>132</v>
      </c>
      <c r="I115" s="2" t="s">
        <v>133</v>
      </c>
      <c r="J115" s="2" t="s">
        <v>226</v>
      </c>
      <c r="K115" t="b">
        <v>0</v>
      </c>
      <c r="L115" s="2" t="s">
        <v>130</v>
      </c>
    </row>
    <row r="116" spans="1:12" hidden="1" x14ac:dyDescent="0.3">
      <c r="A116" s="2" t="s">
        <v>8</v>
      </c>
      <c r="B116" s="2" t="s">
        <v>223</v>
      </c>
      <c r="C116">
        <v>27</v>
      </c>
      <c r="D116" s="2" t="s">
        <v>255</v>
      </c>
      <c r="E116" s="2" t="s">
        <v>65</v>
      </c>
      <c r="F116" s="2" t="s">
        <v>65</v>
      </c>
      <c r="G116" s="2" t="s">
        <v>36</v>
      </c>
      <c r="H116" s="2" t="s">
        <v>132</v>
      </c>
      <c r="I116" s="2" t="s">
        <v>133</v>
      </c>
      <c r="J116" s="2" t="s">
        <v>226</v>
      </c>
      <c r="K116" t="b">
        <v>0</v>
      </c>
      <c r="L116" s="2" t="s">
        <v>130</v>
      </c>
    </row>
    <row r="117" spans="1:12" hidden="1" x14ac:dyDescent="0.3">
      <c r="A117" s="2" t="s">
        <v>8</v>
      </c>
      <c r="B117" s="2" t="s">
        <v>223</v>
      </c>
      <c r="C117">
        <v>28</v>
      </c>
      <c r="D117" s="2" t="s">
        <v>256</v>
      </c>
      <c r="E117" s="2" t="s">
        <v>63</v>
      </c>
      <c r="F117" s="2" t="s">
        <v>257</v>
      </c>
      <c r="G117" s="2" t="s">
        <v>36</v>
      </c>
      <c r="H117" s="2" t="s">
        <v>132</v>
      </c>
      <c r="I117" s="2" t="s">
        <v>133</v>
      </c>
      <c r="J117" s="2" t="s">
        <v>226</v>
      </c>
      <c r="K117" t="b">
        <v>1</v>
      </c>
      <c r="L117" s="2" t="s">
        <v>130</v>
      </c>
    </row>
    <row r="118" spans="1:12" hidden="1" x14ac:dyDescent="0.3">
      <c r="A118" s="2" t="s">
        <v>8</v>
      </c>
      <c r="B118" s="2" t="s">
        <v>223</v>
      </c>
      <c r="C118">
        <v>29</v>
      </c>
      <c r="D118" s="2" t="s">
        <v>258</v>
      </c>
      <c r="E118" s="2" t="s">
        <v>57</v>
      </c>
      <c r="F118" s="2" t="s">
        <v>57</v>
      </c>
      <c r="G118" s="2" t="s">
        <v>36</v>
      </c>
      <c r="H118" s="2" t="s">
        <v>132</v>
      </c>
      <c r="I118" s="2" t="s">
        <v>133</v>
      </c>
      <c r="J118" s="2" t="s">
        <v>226</v>
      </c>
      <c r="K118" t="b">
        <v>0</v>
      </c>
      <c r="L118" s="2" t="s">
        <v>130</v>
      </c>
    </row>
    <row r="119" spans="1:12" hidden="1" x14ac:dyDescent="0.3">
      <c r="A119" s="2" t="s">
        <v>8</v>
      </c>
      <c r="B119" s="2" t="s">
        <v>223</v>
      </c>
      <c r="C119">
        <v>30</v>
      </c>
      <c r="D119" s="2" t="s">
        <v>259</v>
      </c>
      <c r="E119" s="2" t="s">
        <v>64</v>
      </c>
      <c r="F119" s="2" t="s">
        <v>64</v>
      </c>
      <c r="G119" s="2" t="s">
        <v>36</v>
      </c>
      <c r="H119" s="2" t="s">
        <v>132</v>
      </c>
      <c r="I119" s="2" t="s">
        <v>133</v>
      </c>
      <c r="J119" s="2" t="s">
        <v>226</v>
      </c>
      <c r="K119" t="b">
        <v>0</v>
      </c>
      <c r="L119" s="2" t="s">
        <v>130</v>
      </c>
    </row>
    <row r="120" spans="1:12" hidden="1" x14ac:dyDescent="0.3">
      <c r="A120" s="2" t="s">
        <v>8</v>
      </c>
      <c r="B120" s="2" t="s">
        <v>223</v>
      </c>
      <c r="C120">
        <v>31</v>
      </c>
      <c r="D120" s="2" t="s">
        <v>260</v>
      </c>
      <c r="E120" s="2" t="s">
        <v>13</v>
      </c>
      <c r="F120" s="2" t="s">
        <v>13</v>
      </c>
      <c r="G120" s="2" t="s">
        <v>36</v>
      </c>
      <c r="H120" s="2" t="s">
        <v>132</v>
      </c>
      <c r="I120" s="2" t="s">
        <v>133</v>
      </c>
      <c r="J120" s="2" t="s">
        <v>226</v>
      </c>
      <c r="K120" t="b">
        <v>0</v>
      </c>
      <c r="L120" s="2" t="s">
        <v>130</v>
      </c>
    </row>
    <row r="121" spans="1:12" hidden="1" x14ac:dyDescent="0.3">
      <c r="A121" s="2" t="s">
        <v>8</v>
      </c>
      <c r="B121" s="2" t="s">
        <v>223</v>
      </c>
      <c r="C121">
        <v>32</v>
      </c>
      <c r="D121" s="2" t="s">
        <v>261</v>
      </c>
      <c r="E121" s="2" t="s">
        <v>13</v>
      </c>
      <c r="F121" s="2" t="s">
        <v>13</v>
      </c>
      <c r="G121" s="2" t="s">
        <v>36</v>
      </c>
      <c r="H121" s="2" t="s">
        <v>132</v>
      </c>
      <c r="I121" s="2" t="s">
        <v>133</v>
      </c>
      <c r="J121" s="2" t="s">
        <v>226</v>
      </c>
      <c r="K121" t="b">
        <v>0</v>
      </c>
      <c r="L121" s="2" t="s">
        <v>130</v>
      </c>
    </row>
    <row r="122" spans="1:12" hidden="1" x14ac:dyDescent="0.3">
      <c r="A122" s="2" t="s">
        <v>8</v>
      </c>
      <c r="B122" s="2" t="s">
        <v>223</v>
      </c>
      <c r="C122">
        <v>33</v>
      </c>
      <c r="D122" s="2" t="s">
        <v>262</v>
      </c>
      <c r="E122" s="2" t="s">
        <v>72</v>
      </c>
      <c r="F122" s="2" t="s">
        <v>72</v>
      </c>
      <c r="G122" s="2" t="s">
        <v>36</v>
      </c>
      <c r="H122" s="2" t="s">
        <v>132</v>
      </c>
      <c r="I122" s="2" t="s">
        <v>133</v>
      </c>
      <c r="J122" s="2" t="s">
        <v>226</v>
      </c>
      <c r="K122" t="b">
        <v>0</v>
      </c>
      <c r="L122" s="2" t="s">
        <v>130</v>
      </c>
    </row>
    <row r="123" spans="1:12" hidden="1" x14ac:dyDescent="0.3">
      <c r="A123" s="2" t="s">
        <v>8</v>
      </c>
      <c r="B123" s="2" t="s">
        <v>223</v>
      </c>
      <c r="C123">
        <v>34</v>
      </c>
      <c r="D123" s="2" t="s">
        <v>263</v>
      </c>
      <c r="E123" s="2" t="s">
        <v>16</v>
      </c>
      <c r="F123" s="2" t="s">
        <v>155</v>
      </c>
      <c r="G123" s="2" t="s">
        <v>36</v>
      </c>
      <c r="H123" s="2" t="s">
        <v>132</v>
      </c>
      <c r="I123" s="2" t="s">
        <v>133</v>
      </c>
      <c r="J123" s="2" t="s">
        <v>226</v>
      </c>
      <c r="K123" t="b">
        <v>1</v>
      </c>
      <c r="L123" s="2" t="s">
        <v>130</v>
      </c>
    </row>
    <row r="124" spans="1:12" hidden="1" x14ac:dyDescent="0.3">
      <c r="A124" s="2" t="s">
        <v>8</v>
      </c>
      <c r="B124" s="2" t="s">
        <v>223</v>
      </c>
      <c r="C124">
        <v>35</v>
      </c>
      <c r="D124" s="2" t="s">
        <v>264</v>
      </c>
      <c r="E124" s="2" t="s">
        <v>18</v>
      </c>
      <c r="F124" s="2" t="s">
        <v>18</v>
      </c>
      <c r="G124" s="2" t="s">
        <v>36</v>
      </c>
      <c r="H124" s="2" t="s">
        <v>132</v>
      </c>
      <c r="I124" s="2" t="s">
        <v>133</v>
      </c>
      <c r="J124" s="2" t="s">
        <v>226</v>
      </c>
      <c r="K124" t="b">
        <v>0</v>
      </c>
      <c r="L124" s="2" t="s">
        <v>130</v>
      </c>
    </row>
    <row r="125" spans="1:12" hidden="1" x14ac:dyDescent="0.3">
      <c r="A125" s="2" t="s">
        <v>8</v>
      </c>
      <c r="B125" s="2" t="s">
        <v>223</v>
      </c>
      <c r="C125">
        <v>36</v>
      </c>
      <c r="D125" s="2" t="s">
        <v>265</v>
      </c>
      <c r="E125" s="2" t="s">
        <v>77</v>
      </c>
      <c r="F125" s="2" t="s">
        <v>77</v>
      </c>
      <c r="G125" s="2" t="s">
        <v>36</v>
      </c>
      <c r="H125" s="2" t="s">
        <v>132</v>
      </c>
      <c r="I125" s="2" t="s">
        <v>133</v>
      </c>
      <c r="J125" s="2" t="s">
        <v>226</v>
      </c>
      <c r="K125" t="b">
        <v>0</v>
      </c>
      <c r="L125" s="2" t="s">
        <v>130</v>
      </c>
    </row>
    <row r="126" spans="1:12" hidden="1" x14ac:dyDescent="0.3">
      <c r="A126" s="2" t="s">
        <v>8</v>
      </c>
      <c r="B126" s="2" t="s">
        <v>223</v>
      </c>
      <c r="C126">
        <v>37</v>
      </c>
      <c r="D126" s="2" t="s">
        <v>266</v>
      </c>
      <c r="E126" s="2" t="s">
        <v>119</v>
      </c>
      <c r="F126" s="2" t="s">
        <v>119</v>
      </c>
      <c r="G126" s="2" t="s">
        <v>38</v>
      </c>
      <c r="H126" s="2" t="s">
        <v>158</v>
      </c>
      <c r="I126" s="2" t="s">
        <v>133</v>
      </c>
      <c r="J126" s="2" t="s">
        <v>226</v>
      </c>
      <c r="K126" t="b">
        <v>0</v>
      </c>
      <c r="L126" s="2" t="s">
        <v>130</v>
      </c>
    </row>
    <row r="127" spans="1:12" hidden="1" x14ac:dyDescent="0.3">
      <c r="A127" s="2" t="s">
        <v>8</v>
      </c>
      <c r="B127" s="2" t="s">
        <v>223</v>
      </c>
      <c r="C127">
        <v>38</v>
      </c>
      <c r="D127" s="2" t="s">
        <v>267</v>
      </c>
      <c r="E127" s="2" t="s">
        <v>49</v>
      </c>
      <c r="F127" s="2" t="s">
        <v>49</v>
      </c>
      <c r="G127" s="2" t="s">
        <v>38</v>
      </c>
      <c r="H127" s="2" t="s">
        <v>158</v>
      </c>
      <c r="I127" s="2" t="s">
        <v>133</v>
      </c>
      <c r="J127" s="2" t="s">
        <v>226</v>
      </c>
      <c r="K127" t="b">
        <v>0</v>
      </c>
      <c r="L127" s="2" t="s">
        <v>130</v>
      </c>
    </row>
    <row r="128" spans="1:12" hidden="1" x14ac:dyDescent="0.3">
      <c r="A128" s="2" t="s">
        <v>8</v>
      </c>
      <c r="B128" s="2" t="s">
        <v>223</v>
      </c>
      <c r="C128">
        <v>39</v>
      </c>
      <c r="D128" s="2" t="s">
        <v>268</v>
      </c>
      <c r="E128" s="2" t="s">
        <v>37</v>
      </c>
      <c r="F128" s="2" t="s">
        <v>37</v>
      </c>
      <c r="G128" s="2" t="s">
        <v>38</v>
      </c>
      <c r="H128" s="2" t="s">
        <v>158</v>
      </c>
      <c r="I128" s="2" t="s">
        <v>133</v>
      </c>
      <c r="J128" s="2" t="s">
        <v>226</v>
      </c>
      <c r="K128" t="b">
        <v>0</v>
      </c>
      <c r="L128" s="2" t="s">
        <v>130</v>
      </c>
    </row>
    <row r="129" spans="1:12" hidden="1" x14ac:dyDescent="0.3">
      <c r="A129" s="2" t="s">
        <v>8</v>
      </c>
      <c r="B129" s="2" t="s">
        <v>223</v>
      </c>
      <c r="C129">
        <v>40</v>
      </c>
      <c r="D129" s="2" t="s">
        <v>269</v>
      </c>
      <c r="E129" s="2" t="s">
        <v>40</v>
      </c>
      <c r="F129" s="2" t="s">
        <v>40</v>
      </c>
      <c r="G129" s="2" t="s">
        <v>38</v>
      </c>
      <c r="H129" s="2" t="s">
        <v>158</v>
      </c>
      <c r="I129" s="2" t="s">
        <v>133</v>
      </c>
      <c r="J129" s="2" t="s">
        <v>226</v>
      </c>
      <c r="K129" t="b">
        <v>0</v>
      </c>
      <c r="L129" s="2" t="s">
        <v>130</v>
      </c>
    </row>
    <row r="130" spans="1:12" hidden="1" x14ac:dyDescent="0.3">
      <c r="A130" s="2" t="s">
        <v>8</v>
      </c>
      <c r="B130" s="2" t="s">
        <v>223</v>
      </c>
      <c r="C130">
        <v>41</v>
      </c>
      <c r="D130" s="2" t="s">
        <v>270</v>
      </c>
      <c r="E130" s="2" t="s">
        <v>41</v>
      </c>
      <c r="F130" s="2" t="s">
        <v>41</v>
      </c>
      <c r="G130" s="2" t="s">
        <v>38</v>
      </c>
      <c r="H130" s="2" t="s">
        <v>158</v>
      </c>
      <c r="I130" s="2" t="s">
        <v>133</v>
      </c>
      <c r="J130" s="2" t="s">
        <v>226</v>
      </c>
      <c r="K130" t="b">
        <v>0</v>
      </c>
      <c r="L130" s="2" t="s">
        <v>130</v>
      </c>
    </row>
    <row r="131" spans="1:12" hidden="1" x14ac:dyDescent="0.3">
      <c r="A131" s="2" t="s">
        <v>8</v>
      </c>
      <c r="B131" s="2" t="s">
        <v>223</v>
      </c>
      <c r="C131">
        <v>42</v>
      </c>
      <c r="D131" s="2" t="s">
        <v>271</v>
      </c>
      <c r="E131" s="2" t="s">
        <v>120</v>
      </c>
      <c r="F131" s="2" t="s">
        <v>120</v>
      </c>
      <c r="G131" s="2" t="s">
        <v>38</v>
      </c>
      <c r="H131" s="2" t="s">
        <v>158</v>
      </c>
      <c r="I131" s="2" t="s">
        <v>133</v>
      </c>
      <c r="J131" s="2" t="s">
        <v>226</v>
      </c>
      <c r="K131" t="b">
        <v>0</v>
      </c>
      <c r="L131" s="2" t="s">
        <v>130</v>
      </c>
    </row>
    <row r="132" spans="1:12" hidden="1" x14ac:dyDescent="0.3">
      <c r="A132" s="2" t="s">
        <v>8</v>
      </c>
      <c r="B132" s="2" t="s">
        <v>223</v>
      </c>
      <c r="C132">
        <v>43</v>
      </c>
      <c r="D132" s="2" t="s">
        <v>272</v>
      </c>
      <c r="E132" s="2" t="s">
        <v>39</v>
      </c>
      <c r="F132" s="2" t="s">
        <v>39</v>
      </c>
      <c r="G132" s="2" t="s">
        <v>38</v>
      </c>
      <c r="H132" s="2" t="s">
        <v>158</v>
      </c>
      <c r="I132" s="2" t="s">
        <v>133</v>
      </c>
      <c r="J132" s="2" t="s">
        <v>226</v>
      </c>
      <c r="K132" t="b">
        <v>0</v>
      </c>
      <c r="L132" s="2" t="s">
        <v>130</v>
      </c>
    </row>
    <row r="133" spans="1:12" hidden="1" x14ac:dyDescent="0.3">
      <c r="A133" s="2" t="s">
        <v>8</v>
      </c>
      <c r="B133" s="2" t="s">
        <v>223</v>
      </c>
      <c r="C133">
        <v>44</v>
      </c>
      <c r="D133" s="2" t="s">
        <v>273</v>
      </c>
      <c r="E133" s="2" t="s">
        <v>123</v>
      </c>
      <c r="F133" s="2" t="s">
        <v>123</v>
      </c>
      <c r="G133" s="2" t="s">
        <v>118</v>
      </c>
      <c r="H133" s="2" t="s">
        <v>274</v>
      </c>
      <c r="I133" s="2" t="s">
        <v>133</v>
      </c>
      <c r="J133" s="2" t="s">
        <v>226</v>
      </c>
      <c r="K133" t="b">
        <v>0</v>
      </c>
      <c r="L133" s="2" t="s">
        <v>130</v>
      </c>
    </row>
    <row r="134" spans="1:12" hidden="1" x14ac:dyDescent="0.3">
      <c r="A134" s="2" t="s">
        <v>8</v>
      </c>
      <c r="B134" s="2" t="s">
        <v>223</v>
      </c>
      <c r="C134">
        <v>45</v>
      </c>
      <c r="D134" s="2" t="s">
        <v>275</v>
      </c>
      <c r="E134" s="2" t="s">
        <v>115</v>
      </c>
      <c r="F134" s="2" t="s">
        <v>115</v>
      </c>
      <c r="G134" s="2" t="s">
        <v>118</v>
      </c>
      <c r="H134" s="2" t="s">
        <v>274</v>
      </c>
      <c r="I134" s="2" t="s">
        <v>133</v>
      </c>
      <c r="J134" s="2" t="s">
        <v>226</v>
      </c>
      <c r="K134" t="b">
        <v>0</v>
      </c>
      <c r="L134" s="2" t="s">
        <v>130</v>
      </c>
    </row>
    <row r="135" spans="1:12" hidden="1" x14ac:dyDescent="0.3">
      <c r="A135" s="2" t="s">
        <v>8</v>
      </c>
      <c r="B135" s="2" t="s">
        <v>223</v>
      </c>
      <c r="C135">
        <v>46</v>
      </c>
      <c r="D135" s="2" t="s">
        <v>276</v>
      </c>
      <c r="E135" s="2" t="s">
        <v>116</v>
      </c>
      <c r="F135" s="2" t="s">
        <v>116</v>
      </c>
      <c r="G135" s="2" t="s">
        <v>118</v>
      </c>
      <c r="H135" s="2" t="s">
        <v>274</v>
      </c>
      <c r="I135" s="2" t="s">
        <v>133</v>
      </c>
      <c r="J135" s="2" t="s">
        <v>226</v>
      </c>
      <c r="K135" t="b">
        <v>0</v>
      </c>
      <c r="L135" s="2" t="s">
        <v>130</v>
      </c>
    </row>
    <row r="136" spans="1:12" hidden="1" x14ac:dyDescent="0.3">
      <c r="A136" s="2" t="s">
        <v>8</v>
      </c>
      <c r="B136" s="2" t="s">
        <v>223</v>
      </c>
      <c r="C136">
        <v>47</v>
      </c>
      <c r="D136" s="2" t="s">
        <v>277</v>
      </c>
      <c r="E136" s="2" t="s">
        <v>117</v>
      </c>
      <c r="F136" s="2" t="s">
        <v>117</v>
      </c>
      <c r="G136" s="2" t="s">
        <v>118</v>
      </c>
      <c r="H136" s="2" t="s">
        <v>274</v>
      </c>
      <c r="I136" s="2" t="s">
        <v>133</v>
      </c>
      <c r="J136" s="2" t="s">
        <v>226</v>
      </c>
      <c r="K136" t="b">
        <v>0</v>
      </c>
      <c r="L136" s="2" t="s">
        <v>130</v>
      </c>
    </row>
    <row r="137" spans="1:12" hidden="1" x14ac:dyDescent="0.3">
      <c r="A137" s="2" t="s">
        <v>8</v>
      </c>
      <c r="B137" s="2" t="s">
        <v>223</v>
      </c>
      <c r="C137">
        <v>48</v>
      </c>
      <c r="D137" s="2" t="s">
        <v>278</v>
      </c>
      <c r="E137" s="2" t="s">
        <v>81</v>
      </c>
      <c r="F137" s="2" t="s">
        <v>81</v>
      </c>
      <c r="G137" s="2" t="s">
        <v>85</v>
      </c>
      <c r="H137" s="2" t="s">
        <v>279</v>
      </c>
      <c r="I137" s="2" t="s">
        <v>133</v>
      </c>
      <c r="J137" s="2" t="s">
        <v>226</v>
      </c>
      <c r="K137" t="b">
        <v>0</v>
      </c>
      <c r="L137" s="2" t="s">
        <v>130</v>
      </c>
    </row>
    <row r="138" spans="1:12" hidden="1" x14ac:dyDescent="0.3">
      <c r="A138" s="2" t="s">
        <v>8</v>
      </c>
      <c r="B138" s="2" t="s">
        <v>223</v>
      </c>
      <c r="C138">
        <v>49</v>
      </c>
      <c r="D138" s="2" t="s">
        <v>280</v>
      </c>
      <c r="E138" s="2" t="s">
        <v>68</v>
      </c>
      <c r="F138" s="2" t="s">
        <v>68</v>
      </c>
      <c r="G138" s="2" t="s">
        <v>85</v>
      </c>
      <c r="H138" s="2" t="s">
        <v>279</v>
      </c>
      <c r="I138" s="2" t="s">
        <v>133</v>
      </c>
      <c r="J138" s="2" t="s">
        <v>226</v>
      </c>
      <c r="K138" t="b">
        <v>0</v>
      </c>
      <c r="L138" s="2" t="s">
        <v>130</v>
      </c>
    </row>
    <row r="139" spans="1:12" hidden="1" x14ac:dyDescent="0.3">
      <c r="A139" s="2" t="s">
        <v>8</v>
      </c>
      <c r="B139" s="2" t="s">
        <v>223</v>
      </c>
      <c r="C139">
        <v>50</v>
      </c>
      <c r="D139" s="2" t="s">
        <v>281</v>
      </c>
      <c r="E139" s="2" t="s">
        <v>82</v>
      </c>
      <c r="F139" s="2" t="s">
        <v>82</v>
      </c>
      <c r="G139" s="2" t="s">
        <v>85</v>
      </c>
      <c r="H139" s="2" t="s">
        <v>279</v>
      </c>
      <c r="I139" s="2" t="s">
        <v>133</v>
      </c>
      <c r="J139" s="2" t="s">
        <v>226</v>
      </c>
      <c r="K139" t="b">
        <v>0</v>
      </c>
      <c r="L139" s="2" t="s">
        <v>130</v>
      </c>
    </row>
    <row r="140" spans="1:12" hidden="1" x14ac:dyDescent="0.3">
      <c r="A140" s="2" t="s">
        <v>8</v>
      </c>
      <c r="B140" s="2" t="s">
        <v>223</v>
      </c>
      <c r="C140">
        <v>51</v>
      </c>
      <c r="D140" s="2" t="s">
        <v>282</v>
      </c>
      <c r="E140" s="2" t="s">
        <v>67</v>
      </c>
      <c r="F140" s="2" t="s">
        <v>67</v>
      </c>
      <c r="G140" s="2" t="s">
        <v>85</v>
      </c>
      <c r="H140" s="2" t="s">
        <v>279</v>
      </c>
      <c r="I140" s="2" t="s">
        <v>133</v>
      </c>
      <c r="J140" s="2" t="s">
        <v>226</v>
      </c>
      <c r="K140" t="b">
        <v>0</v>
      </c>
      <c r="L140" s="2" t="s">
        <v>130</v>
      </c>
    </row>
    <row r="141" spans="1:12" hidden="1" x14ac:dyDescent="0.3">
      <c r="A141" s="2" t="s">
        <v>8</v>
      </c>
      <c r="B141" s="2" t="s">
        <v>223</v>
      </c>
      <c r="C141">
        <v>52</v>
      </c>
      <c r="D141" s="2" t="s">
        <v>283</v>
      </c>
      <c r="E141" s="2" t="s">
        <v>83</v>
      </c>
      <c r="F141" s="2" t="s">
        <v>83</v>
      </c>
      <c r="G141" s="2" t="s">
        <v>85</v>
      </c>
      <c r="H141" s="2" t="s">
        <v>279</v>
      </c>
      <c r="I141" s="2" t="s">
        <v>133</v>
      </c>
      <c r="J141" s="2" t="s">
        <v>226</v>
      </c>
      <c r="K141" t="b">
        <v>0</v>
      </c>
      <c r="L141" s="2" t="s">
        <v>130</v>
      </c>
    </row>
    <row r="142" spans="1:12" hidden="1" x14ac:dyDescent="0.3">
      <c r="A142" s="2" t="s">
        <v>8</v>
      </c>
      <c r="B142" s="2" t="s">
        <v>223</v>
      </c>
      <c r="C142">
        <v>53</v>
      </c>
      <c r="D142" s="2" t="s">
        <v>284</v>
      </c>
      <c r="E142" s="2" t="s">
        <v>64</v>
      </c>
      <c r="F142" s="2" t="s">
        <v>64</v>
      </c>
      <c r="G142" s="2" t="s">
        <v>85</v>
      </c>
      <c r="H142" s="2" t="s">
        <v>279</v>
      </c>
      <c r="I142" s="2" t="s">
        <v>133</v>
      </c>
      <c r="J142" s="2" t="s">
        <v>226</v>
      </c>
      <c r="K142" t="b">
        <v>0</v>
      </c>
      <c r="L142" s="2" t="s">
        <v>130</v>
      </c>
    </row>
    <row r="143" spans="1:12" hidden="1" x14ac:dyDescent="0.3">
      <c r="A143" s="2" t="s">
        <v>8</v>
      </c>
      <c r="B143" s="2" t="s">
        <v>223</v>
      </c>
      <c r="C143">
        <v>54</v>
      </c>
      <c r="D143" s="2" t="s">
        <v>285</v>
      </c>
      <c r="E143" s="2" t="s">
        <v>54</v>
      </c>
      <c r="F143" s="2" t="s">
        <v>54</v>
      </c>
      <c r="G143" s="2" t="s">
        <v>85</v>
      </c>
      <c r="H143" s="2" t="s">
        <v>279</v>
      </c>
      <c r="I143" s="2" t="s">
        <v>133</v>
      </c>
      <c r="J143" s="2" t="s">
        <v>226</v>
      </c>
      <c r="K143" t="b">
        <v>0</v>
      </c>
      <c r="L143" s="2" t="s">
        <v>130</v>
      </c>
    </row>
    <row r="144" spans="1:12" hidden="1" x14ac:dyDescent="0.3">
      <c r="A144" s="2" t="s">
        <v>8</v>
      </c>
      <c r="B144" s="2" t="s">
        <v>223</v>
      </c>
      <c r="C144">
        <v>55</v>
      </c>
      <c r="D144" s="2" t="s">
        <v>286</v>
      </c>
      <c r="E144" s="2" t="s">
        <v>84</v>
      </c>
      <c r="F144" s="2" t="s">
        <v>84</v>
      </c>
      <c r="G144" s="2" t="s">
        <v>85</v>
      </c>
      <c r="H144" s="2" t="s">
        <v>279</v>
      </c>
      <c r="I144" s="2" t="s">
        <v>133</v>
      </c>
      <c r="J144" s="2" t="s">
        <v>226</v>
      </c>
      <c r="K144" t="b">
        <v>0</v>
      </c>
      <c r="L144" s="2" t="s">
        <v>130</v>
      </c>
    </row>
    <row r="145" spans="1:12" hidden="1" x14ac:dyDescent="0.3">
      <c r="A145" s="2" t="s">
        <v>8</v>
      </c>
      <c r="B145" s="2" t="s">
        <v>223</v>
      </c>
      <c r="C145">
        <v>56</v>
      </c>
      <c r="D145" s="2" t="s">
        <v>287</v>
      </c>
      <c r="E145" s="2" t="s">
        <v>69</v>
      </c>
      <c r="F145" s="2" t="s">
        <v>69</v>
      </c>
      <c r="G145" s="2" t="s">
        <v>85</v>
      </c>
      <c r="H145" s="2" t="s">
        <v>279</v>
      </c>
      <c r="I145" s="2" t="s">
        <v>133</v>
      </c>
      <c r="J145" s="2" t="s">
        <v>226</v>
      </c>
      <c r="K145" t="b">
        <v>0</v>
      </c>
      <c r="L145" s="2" t="s">
        <v>130</v>
      </c>
    </row>
    <row r="146" spans="1:12" hidden="1" x14ac:dyDescent="0.3">
      <c r="A146" s="2" t="s">
        <v>8</v>
      </c>
      <c r="B146" s="2" t="s">
        <v>223</v>
      </c>
      <c r="C146">
        <v>57</v>
      </c>
      <c r="D146" s="2" t="s">
        <v>288</v>
      </c>
      <c r="E146" s="2" t="s">
        <v>94</v>
      </c>
      <c r="F146" s="2" t="s">
        <v>94</v>
      </c>
      <c r="G146" s="2" t="s">
        <v>108</v>
      </c>
      <c r="H146" s="2" t="s">
        <v>289</v>
      </c>
      <c r="I146" s="2" t="s">
        <v>133</v>
      </c>
      <c r="J146" s="2" t="s">
        <v>226</v>
      </c>
      <c r="K146" t="b">
        <v>0</v>
      </c>
      <c r="L146" s="2" t="s">
        <v>130</v>
      </c>
    </row>
    <row r="147" spans="1:12" hidden="1" x14ac:dyDescent="0.3">
      <c r="A147" s="2" t="s">
        <v>8</v>
      </c>
      <c r="B147" s="2" t="s">
        <v>223</v>
      </c>
      <c r="C147">
        <v>58</v>
      </c>
      <c r="D147" s="2" t="s">
        <v>290</v>
      </c>
      <c r="E147" s="2" t="s">
        <v>95</v>
      </c>
      <c r="F147" s="2" t="s">
        <v>95</v>
      </c>
      <c r="G147" s="2" t="s">
        <v>108</v>
      </c>
      <c r="H147" s="2" t="s">
        <v>289</v>
      </c>
      <c r="I147" s="2" t="s">
        <v>133</v>
      </c>
      <c r="J147" s="2" t="s">
        <v>226</v>
      </c>
      <c r="K147" t="b">
        <v>0</v>
      </c>
      <c r="L147" s="2" t="s">
        <v>130</v>
      </c>
    </row>
    <row r="148" spans="1:12" hidden="1" x14ac:dyDescent="0.3">
      <c r="A148" s="2" t="s">
        <v>8</v>
      </c>
      <c r="B148" s="2" t="s">
        <v>223</v>
      </c>
      <c r="C148">
        <v>59</v>
      </c>
      <c r="D148" s="2" t="s">
        <v>291</v>
      </c>
      <c r="E148" s="2" t="s">
        <v>96</v>
      </c>
      <c r="F148" s="2" t="s">
        <v>96</v>
      </c>
      <c r="G148" s="2" t="s">
        <v>108</v>
      </c>
      <c r="H148" s="2" t="s">
        <v>289</v>
      </c>
      <c r="I148" s="2" t="s">
        <v>133</v>
      </c>
      <c r="J148" s="2" t="s">
        <v>226</v>
      </c>
      <c r="K148" t="b">
        <v>0</v>
      </c>
      <c r="L148" s="2" t="s">
        <v>130</v>
      </c>
    </row>
    <row r="149" spans="1:12" hidden="1" x14ac:dyDescent="0.3">
      <c r="A149" s="2" t="s">
        <v>8</v>
      </c>
      <c r="B149" s="2" t="s">
        <v>223</v>
      </c>
      <c r="C149">
        <v>60</v>
      </c>
      <c r="D149" s="2" t="s">
        <v>292</v>
      </c>
      <c r="E149" s="2" t="s">
        <v>86</v>
      </c>
      <c r="F149" s="2" t="s">
        <v>86</v>
      </c>
      <c r="G149" s="2" t="s">
        <v>108</v>
      </c>
      <c r="H149" s="2" t="s">
        <v>289</v>
      </c>
      <c r="I149" s="2" t="s">
        <v>133</v>
      </c>
      <c r="J149" s="2" t="s">
        <v>226</v>
      </c>
      <c r="K149" t="b">
        <v>0</v>
      </c>
      <c r="L149" s="2" t="s">
        <v>130</v>
      </c>
    </row>
    <row r="150" spans="1:12" hidden="1" x14ac:dyDescent="0.3">
      <c r="A150" s="2" t="s">
        <v>8</v>
      </c>
      <c r="B150" s="2" t="s">
        <v>223</v>
      </c>
      <c r="C150">
        <v>61</v>
      </c>
      <c r="D150" s="2" t="s">
        <v>293</v>
      </c>
      <c r="E150" s="2" t="s">
        <v>87</v>
      </c>
      <c r="F150" s="2" t="s">
        <v>87</v>
      </c>
      <c r="G150" s="2" t="s">
        <v>108</v>
      </c>
      <c r="H150" s="2" t="s">
        <v>289</v>
      </c>
      <c r="I150" s="2" t="s">
        <v>133</v>
      </c>
      <c r="J150" s="2" t="s">
        <v>226</v>
      </c>
      <c r="K150" t="b">
        <v>0</v>
      </c>
      <c r="L150" s="2" t="s">
        <v>130</v>
      </c>
    </row>
    <row r="151" spans="1:12" hidden="1" x14ac:dyDescent="0.3">
      <c r="A151" s="2" t="s">
        <v>8</v>
      </c>
      <c r="B151" s="2" t="s">
        <v>223</v>
      </c>
      <c r="C151">
        <v>62</v>
      </c>
      <c r="D151" s="2" t="s">
        <v>294</v>
      </c>
      <c r="E151" s="2" t="s">
        <v>97</v>
      </c>
      <c r="F151" s="2" t="s">
        <v>97</v>
      </c>
      <c r="G151" s="2" t="s">
        <v>108</v>
      </c>
      <c r="H151" s="2" t="s">
        <v>289</v>
      </c>
      <c r="I151" s="2" t="s">
        <v>133</v>
      </c>
      <c r="J151" s="2" t="s">
        <v>226</v>
      </c>
      <c r="K151" t="b">
        <v>0</v>
      </c>
      <c r="L151" s="2" t="s">
        <v>130</v>
      </c>
    </row>
    <row r="152" spans="1:12" hidden="1" x14ac:dyDescent="0.3">
      <c r="A152" s="2" t="s">
        <v>8</v>
      </c>
      <c r="B152" s="2" t="s">
        <v>223</v>
      </c>
      <c r="C152">
        <v>63</v>
      </c>
      <c r="D152" s="2" t="s">
        <v>295</v>
      </c>
      <c r="E152" s="2" t="s">
        <v>98</v>
      </c>
      <c r="F152" s="2" t="s">
        <v>98</v>
      </c>
      <c r="G152" s="2" t="s">
        <v>108</v>
      </c>
      <c r="H152" s="2" t="s">
        <v>289</v>
      </c>
      <c r="I152" s="2" t="s">
        <v>133</v>
      </c>
      <c r="J152" s="2" t="s">
        <v>226</v>
      </c>
      <c r="K152" t="b">
        <v>0</v>
      </c>
      <c r="L152" s="2" t="s">
        <v>130</v>
      </c>
    </row>
    <row r="153" spans="1:12" hidden="1" x14ac:dyDescent="0.3">
      <c r="A153" s="2" t="s">
        <v>8</v>
      </c>
      <c r="B153" s="2" t="s">
        <v>223</v>
      </c>
      <c r="C153">
        <v>64</v>
      </c>
      <c r="D153" s="2" t="s">
        <v>296</v>
      </c>
      <c r="E153" s="2" t="s">
        <v>88</v>
      </c>
      <c r="F153" s="2" t="s">
        <v>88</v>
      </c>
      <c r="G153" s="2" t="s">
        <v>108</v>
      </c>
      <c r="H153" s="2" t="s">
        <v>289</v>
      </c>
      <c r="I153" s="2" t="s">
        <v>133</v>
      </c>
      <c r="J153" s="2" t="s">
        <v>226</v>
      </c>
      <c r="K153" t="b">
        <v>0</v>
      </c>
      <c r="L153" s="2" t="s">
        <v>130</v>
      </c>
    </row>
    <row r="154" spans="1:12" hidden="1" x14ac:dyDescent="0.3">
      <c r="A154" s="2" t="s">
        <v>8</v>
      </c>
      <c r="B154" s="2" t="s">
        <v>223</v>
      </c>
      <c r="C154">
        <v>65</v>
      </c>
      <c r="D154" s="2" t="s">
        <v>297</v>
      </c>
      <c r="E154" s="2" t="s">
        <v>89</v>
      </c>
      <c r="F154" s="2" t="s">
        <v>89</v>
      </c>
      <c r="G154" s="2" t="s">
        <v>108</v>
      </c>
      <c r="H154" s="2" t="s">
        <v>289</v>
      </c>
      <c r="I154" s="2" t="s">
        <v>133</v>
      </c>
      <c r="J154" s="2" t="s">
        <v>226</v>
      </c>
      <c r="K154" t="b">
        <v>0</v>
      </c>
      <c r="L154" s="2" t="s">
        <v>130</v>
      </c>
    </row>
    <row r="155" spans="1:12" hidden="1" x14ac:dyDescent="0.3">
      <c r="A155" s="2" t="s">
        <v>8</v>
      </c>
      <c r="B155" s="2" t="s">
        <v>223</v>
      </c>
      <c r="C155">
        <v>66</v>
      </c>
      <c r="D155" s="2" t="s">
        <v>298</v>
      </c>
      <c r="E155" s="2" t="s">
        <v>89</v>
      </c>
      <c r="F155" s="2" t="s">
        <v>89</v>
      </c>
      <c r="G155" s="2" t="s">
        <v>108</v>
      </c>
      <c r="H155" s="2" t="s">
        <v>289</v>
      </c>
      <c r="I155" s="2" t="s">
        <v>133</v>
      </c>
      <c r="J155" s="2" t="s">
        <v>226</v>
      </c>
      <c r="K155" t="b">
        <v>0</v>
      </c>
      <c r="L155" s="2" t="s">
        <v>130</v>
      </c>
    </row>
    <row r="156" spans="1:12" hidden="1" x14ac:dyDescent="0.3">
      <c r="A156" s="2" t="s">
        <v>8</v>
      </c>
      <c r="B156" s="2" t="s">
        <v>223</v>
      </c>
      <c r="C156">
        <v>67</v>
      </c>
      <c r="D156" s="2" t="s">
        <v>299</v>
      </c>
      <c r="E156" s="2" t="s">
        <v>100</v>
      </c>
      <c r="F156" s="2" t="s">
        <v>100</v>
      </c>
      <c r="G156" s="2" t="s">
        <v>108</v>
      </c>
      <c r="H156" s="2" t="s">
        <v>289</v>
      </c>
      <c r="I156" s="2" t="s">
        <v>133</v>
      </c>
      <c r="J156" s="2" t="s">
        <v>226</v>
      </c>
      <c r="K156" t="b">
        <v>0</v>
      </c>
      <c r="L156" s="2" t="s">
        <v>130</v>
      </c>
    </row>
    <row r="157" spans="1:12" hidden="1" x14ac:dyDescent="0.3">
      <c r="A157" s="2" t="s">
        <v>8</v>
      </c>
      <c r="B157" s="2" t="s">
        <v>223</v>
      </c>
      <c r="C157">
        <v>68</v>
      </c>
      <c r="D157" s="2" t="s">
        <v>300</v>
      </c>
      <c r="E157" s="2" t="s">
        <v>99</v>
      </c>
      <c r="F157" s="2" t="s">
        <v>99</v>
      </c>
      <c r="G157" s="2" t="s">
        <v>108</v>
      </c>
      <c r="H157" s="2" t="s">
        <v>289</v>
      </c>
      <c r="I157" s="2" t="s">
        <v>133</v>
      </c>
      <c r="J157" s="2" t="s">
        <v>226</v>
      </c>
      <c r="K157" t="b">
        <v>0</v>
      </c>
      <c r="L157" s="2" t="s">
        <v>130</v>
      </c>
    </row>
    <row r="158" spans="1:12" hidden="1" x14ac:dyDescent="0.3">
      <c r="A158" s="2" t="s">
        <v>8</v>
      </c>
      <c r="B158" s="2" t="s">
        <v>223</v>
      </c>
      <c r="C158">
        <v>69</v>
      </c>
      <c r="D158" s="2" t="s">
        <v>301</v>
      </c>
      <c r="E158" s="2" t="s">
        <v>90</v>
      </c>
      <c r="F158" s="2" t="s">
        <v>90</v>
      </c>
      <c r="G158" s="2" t="s">
        <v>108</v>
      </c>
      <c r="H158" s="2" t="s">
        <v>289</v>
      </c>
      <c r="I158" s="2" t="s">
        <v>133</v>
      </c>
      <c r="J158" s="2" t="s">
        <v>226</v>
      </c>
      <c r="K158" t="b">
        <v>0</v>
      </c>
      <c r="L158" s="2" t="s">
        <v>130</v>
      </c>
    </row>
    <row r="159" spans="1:12" hidden="1" x14ac:dyDescent="0.3">
      <c r="A159" s="2" t="s">
        <v>8</v>
      </c>
      <c r="B159" s="2" t="s">
        <v>223</v>
      </c>
      <c r="C159">
        <v>70</v>
      </c>
      <c r="D159" s="2" t="s">
        <v>302</v>
      </c>
      <c r="E159" s="2" t="s">
        <v>101</v>
      </c>
      <c r="F159" s="2" t="s">
        <v>101</v>
      </c>
      <c r="G159" s="2" t="s">
        <v>108</v>
      </c>
      <c r="H159" s="2" t="s">
        <v>289</v>
      </c>
      <c r="I159" s="2" t="s">
        <v>133</v>
      </c>
      <c r="J159" s="2" t="s">
        <v>226</v>
      </c>
      <c r="K159" t="b">
        <v>0</v>
      </c>
      <c r="L159" s="2" t="s">
        <v>130</v>
      </c>
    </row>
    <row r="160" spans="1:12" hidden="1" x14ac:dyDescent="0.3">
      <c r="A160" s="2" t="s">
        <v>8</v>
      </c>
      <c r="B160" s="2" t="s">
        <v>223</v>
      </c>
      <c r="C160">
        <v>71</v>
      </c>
      <c r="D160" s="2" t="s">
        <v>303</v>
      </c>
      <c r="E160" s="2" t="s">
        <v>102</v>
      </c>
      <c r="F160" s="2" t="s">
        <v>102</v>
      </c>
      <c r="G160" s="2" t="s">
        <v>108</v>
      </c>
      <c r="H160" s="2" t="s">
        <v>289</v>
      </c>
      <c r="I160" s="2" t="s">
        <v>133</v>
      </c>
      <c r="J160" s="2" t="s">
        <v>226</v>
      </c>
      <c r="K160" t="b">
        <v>0</v>
      </c>
      <c r="L160" s="2" t="s">
        <v>130</v>
      </c>
    </row>
    <row r="161" spans="1:12" hidden="1" x14ac:dyDescent="0.3">
      <c r="A161" s="2" t="s">
        <v>8</v>
      </c>
      <c r="B161" s="2" t="s">
        <v>223</v>
      </c>
      <c r="C161">
        <v>72</v>
      </c>
      <c r="D161" s="2" t="s">
        <v>304</v>
      </c>
      <c r="E161" s="2" t="s">
        <v>103</v>
      </c>
      <c r="F161" s="2" t="s">
        <v>103</v>
      </c>
      <c r="G161" s="2" t="s">
        <v>108</v>
      </c>
      <c r="H161" s="2" t="s">
        <v>289</v>
      </c>
      <c r="I161" s="2" t="s">
        <v>133</v>
      </c>
      <c r="J161" s="2" t="s">
        <v>226</v>
      </c>
      <c r="K161" t="b">
        <v>0</v>
      </c>
      <c r="L161" s="2" t="s">
        <v>130</v>
      </c>
    </row>
    <row r="162" spans="1:12" hidden="1" x14ac:dyDescent="0.3">
      <c r="A162" s="2" t="s">
        <v>8</v>
      </c>
      <c r="B162" s="2" t="s">
        <v>223</v>
      </c>
      <c r="C162">
        <v>73</v>
      </c>
      <c r="D162" s="2" t="s">
        <v>305</v>
      </c>
      <c r="E162" s="2" t="s">
        <v>104</v>
      </c>
      <c r="F162" s="2" t="s">
        <v>104</v>
      </c>
      <c r="G162" s="2" t="s">
        <v>108</v>
      </c>
      <c r="H162" s="2" t="s">
        <v>289</v>
      </c>
      <c r="I162" s="2" t="s">
        <v>133</v>
      </c>
      <c r="J162" s="2" t="s">
        <v>226</v>
      </c>
      <c r="K162" t="b">
        <v>0</v>
      </c>
      <c r="L162" s="2" t="s">
        <v>130</v>
      </c>
    </row>
    <row r="163" spans="1:12" hidden="1" x14ac:dyDescent="0.3">
      <c r="A163" s="2" t="s">
        <v>8</v>
      </c>
      <c r="B163" s="2" t="s">
        <v>223</v>
      </c>
      <c r="C163">
        <v>74</v>
      </c>
      <c r="D163" s="2" t="s">
        <v>306</v>
      </c>
      <c r="E163" s="2" t="s">
        <v>105</v>
      </c>
      <c r="F163" s="2" t="s">
        <v>105</v>
      </c>
      <c r="G163" s="2" t="s">
        <v>108</v>
      </c>
      <c r="H163" s="2" t="s">
        <v>289</v>
      </c>
      <c r="I163" s="2" t="s">
        <v>133</v>
      </c>
      <c r="J163" s="2" t="s">
        <v>226</v>
      </c>
      <c r="K163" t="b">
        <v>0</v>
      </c>
      <c r="L163" s="2" t="s">
        <v>130</v>
      </c>
    </row>
    <row r="164" spans="1:12" hidden="1" x14ac:dyDescent="0.3">
      <c r="A164" s="2" t="s">
        <v>8</v>
      </c>
      <c r="B164" s="2" t="s">
        <v>223</v>
      </c>
      <c r="C164">
        <v>75</v>
      </c>
      <c r="D164" s="2" t="s">
        <v>307</v>
      </c>
      <c r="E164" s="2" t="s">
        <v>91</v>
      </c>
      <c r="F164" s="2" t="s">
        <v>91</v>
      </c>
      <c r="G164" s="2" t="s">
        <v>108</v>
      </c>
      <c r="H164" s="2" t="s">
        <v>289</v>
      </c>
      <c r="I164" s="2" t="s">
        <v>133</v>
      </c>
      <c r="J164" s="2" t="s">
        <v>226</v>
      </c>
      <c r="K164" t="b">
        <v>0</v>
      </c>
      <c r="L164" s="2" t="s">
        <v>130</v>
      </c>
    </row>
    <row r="165" spans="1:12" hidden="1" x14ac:dyDescent="0.3">
      <c r="A165" s="2" t="s">
        <v>8</v>
      </c>
      <c r="B165" s="2" t="s">
        <v>223</v>
      </c>
      <c r="C165">
        <v>76</v>
      </c>
      <c r="D165" s="2" t="s">
        <v>308</v>
      </c>
      <c r="E165" s="2" t="s">
        <v>91</v>
      </c>
      <c r="F165" s="2" t="s">
        <v>91</v>
      </c>
      <c r="G165" s="2" t="s">
        <v>108</v>
      </c>
      <c r="H165" s="2" t="s">
        <v>289</v>
      </c>
      <c r="I165" s="2" t="s">
        <v>133</v>
      </c>
      <c r="J165" s="2" t="s">
        <v>226</v>
      </c>
      <c r="K165" t="b">
        <v>0</v>
      </c>
      <c r="L165" s="2" t="s">
        <v>130</v>
      </c>
    </row>
    <row r="166" spans="1:12" hidden="1" x14ac:dyDescent="0.3">
      <c r="A166" s="2" t="s">
        <v>8</v>
      </c>
      <c r="B166" s="2" t="s">
        <v>223</v>
      </c>
      <c r="C166">
        <v>77</v>
      </c>
      <c r="D166" s="2" t="s">
        <v>309</v>
      </c>
      <c r="E166" s="2" t="s">
        <v>92</v>
      </c>
      <c r="F166" s="2" t="s">
        <v>92</v>
      </c>
      <c r="G166" s="2" t="s">
        <v>108</v>
      </c>
      <c r="H166" s="2" t="s">
        <v>289</v>
      </c>
      <c r="I166" s="2" t="s">
        <v>133</v>
      </c>
      <c r="J166" s="2" t="s">
        <v>226</v>
      </c>
      <c r="K166" t="b">
        <v>0</v>
      </c>
      <c r="L166" s="2" t="s">
        <v>130</v>
      </c>
    </row>
    <row r="167" spans="1:12" hidden="1" x14ac:dyDescent="0.3">
      <c r="A167" s="2" t="s">
        <v>8</v>
      </c>
      <c r="B167" s="2" t="s">
        <v>223</v>
      </c>
      <c r="C167">
        <v>78</v>
      </c>
      <c r="D167" s="2" t="s">
        <v>310</v>
      </c>
      <c r="E167" s="2" t="s">
        <v>93</v>
      </c>
      <c r="F167" s="2" t="s">
        <v>93</v>
      </c>
      <c r="G167" s="2" t="s">
        <v>108</v>
      </c>
      <c r="H167" s="2" t="s">
        <v>289</v>
      </c>
      <c r="I167" s="2" t="s">
        <v>133</v>
      </c>
      <c r="J167" s="2" t="s">
        <v>226</v>
      </c>
      <c r="K167" t="b">
        <v>0</v>
      </c>
      <c r="L167" s="2" t="s">
        <v>130</v>
      </c>
    </row>
    <row r="168" spans="1:12" hidden="1" x14ac:dyDescent="0.3">
      <c r="A168" s="2" t="s">
        <v>8</v>
      </c>
      <c r="B168" s="2" t="s">
        <v>223</v>
      </c>
      <c r="C168">
        <v>79</v>
      </c>
      <c r="D168" s="2" t="s">
        <v>311</v>
      </c>
      <c r="E168" s="2" t="s">
        <v>106</v>
      </c>
      <c r="F168" s="2" t="s">
        <v>106</v>
      </c>
      <c r="G168" s="2" t="s">
        <v>108</v>
      </c>
      <c r="H168" s="2" t="s">
        <v>289</v>
      </c>
      <c r="I168" s="2" t="s">
        <v>133</v>
      </c>
      <c r="J168" s="2" t="s">
        <v>226</v>
      </c>
      <c r="K168" t="b">
        <v>0</v>
      </c>
      <c r="L168" s="2" t="s">
        <v>130</v>
      </c>
    </row>
    <row r="169" spans="1:12" hidden="1" x14ac:dyDescent="0.3">
      <c r="A169" s="2" t="s">
        <v>8</v>
      </c>
      <c r="B169" s="2" t="s">
        <v>223</v>
      </c>
      <c r="C169">
        <v>80</v>
      </c>
      <c r="D169" s="2" t="s">
        <v>312</v>
      </c>
      <c r="E169" s="2" t="s">
        <v>107</v>
      </c>
      <c r="F169" s="2" t="s">
        <v>107</v>
      </c>
      <c r="G169" s="2" t="s">
        <v>108</v>
      </c>
      <c r="H169" s="2" t="s">
        <v>289</v>
      </c>
      <c r="I169" s="2" t="s">
        <v>133</v>
      </c>
      <c r="J169" s="2" t="s">
        <v>226</v>
      </c>
      <c r="K169" t="b">
        <v>0</v>
      </c>
      <c r="L169" s="2" t="s">
        <v>130</v>
      </c>
    </row>
    <row r="170" spans="1:12" hidden="1" x14ac:dyDescent="0.3">
      <c r="A170" s="2" t="s">
        <v>8</v>
      </c>
      <c r="B170" s="2" t="s">
        <v>223</v>
      </c>
      <c r="C170">
        <v>81</v>
      </c>
      <c r="D170" s="2" t="s">
        <v>313</v>
      </c>
      <c r="E170" s="2" t="s">
        <v>110</v>
      </c>
      <c r="F170" s="2" t="s">
        <v>110</v>
      </c>
      <c r="G170" s="2" t="s">
        <v>46</v>
      </c>
      <c r="H170" s="2" t="s">
        <v>163</v>
      </c>
      <c r="I170" s="2" t="s">
        <v>133</v>
      </c>
      <c r="J170" s="2" t="s">
        <v>226</v>
      </c>
      <c r="K170" t="b">
        <v>0</v>
      </c>
      <c r="L170" s="2" t="s">
        <v>130</v>
      </c>
    </row>
    <row r="171" spans="1:12" hidden="1" x14ac:dyDescent="0.3">
      <c r="A171" s="2" t="s">
        <v>8</v>
      </c>
      <c r="B171" s="2" t="s">
        <v>223</v>
      </c>
      <c r="C171">
        <v>82</v>
      </c>
      <c r="D171" s="2" t="s">
        <v>314</v>
      </c>
      <c r="E171" s="2" t="s">
        <v>111</v>
      </c>
      <c r="F171" s="2" t="s">
        <v>111</v>
      </c>
      <c r="G171" s="2" t="s">
        <v>46</v>
      </c>
      <c r="H171" s="2" t="s">
        <v>163</v>
      </c>
      <c r="I171" s="2" t="s">
        <v>133</v>
      </c>
      <c r="J171" s="2" t="s">
        <v>226</v>
      </c>
      <c r="K171" t="b">
        <v>0</v>
      </c>
      <c r="L171" s="2" t="s">
        <v>130</v>
      </c>
    </row>
    <row r="172" spans="1:12" hidden="1" x14ac:dyDescent="0.3">
      <c r="A172" s="2" t="s">
        <v>8</v>
      </c>
      <c r="B172" s="2" t="s">
        <v>223</v>
      </c>
      <c r="C172">
        <v>83</v>
      </c>
      <c r="D172" s="2" t="s">
        <v>315</v>
      </c>
      <c r="E172" s="2" t="s">
        <v>112</v>
      </c>
      <c r="F172" s="2" t="s">
        <v>112</v>
      </c>
      <c r="G172" s="2" t="s">
        <v>46</v>
      </c>
      <c r="H172" s="2" t="s">
        <v>163</v>
      </c>
      <c r="I172" s="2" t="s">
        <v>133</v>
      </c>
      <c r="J172" s="2" t="s">
        <v>226</v>
      </c>
      <c r="K172" t="b">
        <v>0</v>
      </c>
      <c r="L172" s="2" t="s">
        <v>130</v>
      </c>
    </row>
    <row r="173" spans="1:12" hidden="1" x14ac:dyDescent="0.3">
      <c r="A173" s="2" t="s">
        <v>8</v>
      </c>
      <c r="B173" s="2" t="s">
        <v>223</v>
      </c>
      <c r="C173">
        <v>84</v>
      </c>
      <c r="D173" s="2" t="s">
        <v>316</v>
      </c>
      <c r="E173" s="2" t="s">
        <v>109</v>
      </c>
      <c r="F173" s="2" t="s">
        <v>109</v>
      </c>
      <c r="G173" s="2" t="s">
        <v>46</v>
      </c>
      <c r="H173" s="2" t="s">
        <v>163</v>
      </c>
      <c r="I173" s="2" t="s">
        <v>133</v>
      </c>
      <c r="J173" s="2" t="s">
        <v>226</v>
      </c>
      <c r="K173" t="b">
        <v>0</v>
      </c>
      <c r="L173" s="2" t="s">
        <v>130</v>
      </c>
    </row>
    <row r="174" spans="1:12" hidden="1" x14ac:dyDescent="0.3">
      <c r="A174" s="2" t="s">
        <v>8</v>
      </c>
      <c r="B174" s="2" t="s">
        <v>223</v>
      </c>
      <c r="C174">
        <v>85</v>
      </c>
      <c r="D174" s="2" t="s">
        <v>317</v>
      </c>
      <c r="E174" s="2" t="s">
        <v>113</v>
      </c>
      <c r="F174" s="2" t="s">
        <v>113</v>
      </c>
      <c r="G174" s="2" t="s">
        <v>46</v>
      </c>
      <c r="H174" s="2" t="s">
        <v>163</v>
      </c>
      <c r="I174" s="2" t="s">
        <v>133</v>
      </c>
      <c r="J174" s="2" t="s">
        <v>226</v>
      </c>
      <c r="K174" t="b">
        <v>0</v>
      </c>
      <c r="L174" s="2" t="s">
        <v>130</v>
      </c>
    </row>
    <row r="175" spans="1:12" hidden="1" x14ac:dyDescent="0.3">
      <c r="A175" s="2" t="s">
        <v>8</v>
      </c>
      <c r="B175" s="2" t="s">
        <v>223</v>
      </c>
      <c r="C175">
        <v>86</v>
      </c>
      <c r="D175" s="2" t="s">
        <v>318</v>
      </c>
      <c r="E175" s="2" t="s">
        <v>114</v>
      </c>
      <c r="F175" s="2" t="s">
        <v>114</v>
      </c>
      <c r="G175" s="2" t="s">
        <v>46</v>
      </c>
      <c r="H175" s="2" t="s">
        <v>163</v>
      </c>
      <c r="I175" s="2" t="s">
        <v>133</v>
      </c>
      <c r="J175" s="2" t="s">
        <v>226</v>
      </c>
      <c r="K175" t="b">
        <v>0</v>
      </c>
      <c r="L175" s="2" t="s">
        <v>130</v>
      </c>
    </row>
    <row r="176" spans="1:12" hidden="1" x14ac:dyDescent="0.3">
      <c r="A176" s="2" t="s">
        <v>8</v>
      </c>
      <c r="B176" s="2" t="s">
        <v>223</v>
      </c>
      <c r="C176">
        <v>87</v>
      </c>
      <c r="D176" s="2" t="s">
        <v>319</v>
      </c>
      <c r="E176" s="2" t="s">
        <v>73</v>
      </c>
      <c r="F176" s="2" t="s">
        <v>73</v>
      </c>
      <c r="G176" s="2" t="s">
        <v>74</v>
      </c>
      <c r="H176" s="2" t="s">
        <v>320</v>
      </c>
      <c r="I176" s="2" t="s">
        <v>133</v>
      </c>
      <c r="J176" s="2" t="s">
        <v>226</v>
      </c>
      <c r="K176" t="b">
        <v>0</v>
      </c>
      <c r="L176" s="2" t="s">
        <v>130</v>
      </c>
    </row>
    <row r="177" spans="1:12" hidden="1" x14ac:dyDescent="0.3">
      <c r="A177" s="2" t="s">
        <v>8</v>
      </c>
      <c r="B177" s="2" t="s">
        <v>223</v>
      </c>
      <c r="C177">
        <v>88</v>
      </c>
      <c r="D177" s="2" t="s">
        <v>321</v>
      </c>
      <c r="E177" s="2" t="s">
        <v>75</v>
      </c>
      <c r="F177" s="2" t="s">
        <v>75</v>
      </c>
      <c r="G177" s="2" t="s">
        <v>74</v>
      </c>
      <c r="H177" s="2" t="s">
        <v>320</v>
      </c>
      <c r="I177" s="2" t="s">
        <v>133</v>
      </c>
      <c r="J177" s="2" t="s">
        <v>226</v>
      </c>
      <c r="K177" t="b">
        <v>0</v>
      </c>
      <c r="L177" s="2" t="s">
        <v>130</v>
      </c>
    </row>
    <row r="178" spans="1:12" hidden="1" x14ac:dyDescent="0.3">
      <c r="A178" s="2" t="s">
        <v>8</v>
      </c>
      <c r="B178" s="2" t="s">
        <v>223</v>
      </c>
      <c r="C178">
        <v>89</v>
      </c>
      <c r="D178" s="2" t="s">
        <v>322</v>
      </c>
      <c r="E178" s="2" t="s">
        <v>76</v>
      </c>
      <c r="F178" s="2" t="s">
        <v>76</v>
      </c>
      <c r="G178" s="2" t="s">
        <v>74</v>
      </c>
      <c r="H178" s="2" t="s">
        <v>320</v>
      </c>
      <c r="I178" s="2" t="s">
        <v>133</v>
      </c>
      <c r="J178" s="2" t="s">
        <v>226</v>
      </c>
      <c r="K178" t="b">
        <v>0</v>
      </c>
      <c r="L178" s="2" t="s">
        <v>130</v>
      </c>
    </row>
    <row r="179" spans="1:12" hidden="1" x14ac:dyDescent="0.3">
      <c r="A179" s="2" t="s">
        <v>8</v>
      </c>
      <c r="B179" s="2" t="s">
        <v>223</v>
      </c>
      <c r="C179">
        <v>90</v>
      </c>
      <c r="D179" s="2" t="s">
        <v>323</v>
      </c>
      <c r="E179" s="2" t="s">
        <v>78</v>
      </c>
      <c r="F179" s="2" t="s">
        <v>78</v>
      </c>
      <c r="G179" s="2" t="s">
        <v>80</v>
      </c>
      <c r="H179" s="2" t="s">
        <v>324</v>
      </c>
      <c r="I179" s="2" t="s">
        <v>133</v>
      </c>
      <c r="J179" s="2" t="s">
        <v>226</v>
      </c>
      <c r="K179" t="b">
        <v>0</v>
      </c>
      <c r="L179" s="2" t="s">
        <v>130</v>
      </c>
    </row>
    <row r="180" spans="1:12" hidden="1" x14ac:dyDescent="0.3">
      <c r="A180" s="2" t="s">
        <v>8</v>
      </c>
      <c r="B180" s="2" t="s">
        <v>223</v>
      </c>
      <c r="C180">
        <v>91</v>
      </c>
      <c r="D180" s="2" t="s">
        <v>325</v>
      </c>
      <c r="E180" s="2" t="s">
        <v>79</v>
      </c>
      <c r="F180" s="2" t="s">
        <v>79</v>
      </c>
      <c r="G180" s="2" t="s">
        <v>80</v>
      </c>
      <c r="H180" s="2" t="s">
        <v>324</v>
      </c>
      <c r="I180" s="2" t="s">
        <v>133</v>
      </c>
      <c r="J180" s="2" t="s">
        <v>226</v>
      </c>
      <c r="K180" t="b">
        <v>0</v>
      </c>
      <c r="L180" s="2" t="s">
        <v>130</v>
      </c>
    </row>
    <row r="181" spans="1:12" hidden="1" x14ac:dyDescent="0.3">
      <c r="A181" s="2" t="s">
        <v>8</v>
      </c>
      <c r="B181" s="2" t="s">
        <v>223</v>
      </c>
      <c r="C181">
        <v>92</v>
      </c>
      <c r="D181" s="2" t="s">
        <v>326</v>
      </c>
      <c r="E181" s="2" t="s">
        <v>11</v>
      </c>
      <c r="F181" s="2" t="s">
        <v>11</v>
      </c>
      <c r="G181" s="2" t="s">
        <v>80</v>
      </c>
      <c r="H181" s="2" t="s">
        <v>324</v>
      </c>
      <c r="I181" s="2" t="s">
        <v>133</v>
      </c>
      <c r="J181" s="2" t="s">
        <v>226</v>
      </c>
      <c r="K181" t="b">
        <v>0</v>
      </c>
      <c r="L181" s="2" t="s">
        <v>130</v>
      </c>
    </row>
    <row r="182" spans="1:12" hidden="1" x14ac:dyDescent="0.3">
      <c r="A182" s="2" t="s">
        <v>8</v>
      </c>
      <c r="B182" s="2" t="s">
        <v>223</v>
      </c>
      <c r="C182">
        <v>93</v>
      </c>
      <c r="D182" s="2" t="s">
        <v>327</v>
      </c>
      <c r="E182" s="2" t="s">
        <v>25</v>
      </c>
      <c r="F182" s="2" t="s">
        <v>25</v>
      </c>
      <c r="G182" s="2" t="s">
        <v>80</v>
      </c>
      <c r="H182" s="2" t="s">
        <v>324</v>
      </c>
      <c r="I182" s="2" t="s">
        <v>133</v>
      </c>
      <c r="J182" s="2" t="s">
        <v>226</v>
      </c>
      <c r="K182" t="b">
        <v>0</v>
      </c>
      <c r="L182" s="2" t="s">
        <v>130</v>
      </c>
    </row>
    <row r="183" spans="1:12" hidden="1" x14ac:dyDescent="0.3">
      <c r="A183" s="2" t="s">
        <v>8</v>
      </c>
      <c r="B183" s="2" t="s">
        <v>223</v>
      </c>
      <c r="C183">
        <v>94</v>
      </c>
      <c r="D183" s="2" t="s">
        <v>328</v>
      </c>
      <c r="E183" s="2" t="s">
        <v>27</v>
      </c>
      <c r="F183" s="2" t="s">
        <v>27</v>
      </c>
      <c r="G183" s="2" t="s">
        <v>80</v>
      </c>
      <c r="H183" s="2" t="s">
        <v>324</v>
      </c>
      <c r="I183" s="2" t="s">
        <v>133</v>
      </c>
      <c r="J183" s="2" t="s">
        <v>226</v>
      </c>
      <c r="K183" t="b">
        <v>0</v>
      </c>
      <c r="L183" s="2" t="s">
        <v>130</v>
      </c>
    </row>
    <row r="184" spans="1:12" hidden="1" x14ac:dyDescent="0.3">
      <c r="A184" s="2" t="s">
        <v>8</v>
      </c>
      <c r="B184" s="2" t="s">
        <v>223</v>
      </c>
      <c r="C184">
        <v>95</v>
      </c>
      <c r="D184" s="2" t="s">
        <v>329</v>
      </c>
      <c r="E184" s="2" t="s">
        <v>47</v>
      </c>
      <c r="F184" s="2" t="s">
        <v>47</v>
      </c>
      <c r="G184" s="2" t="s">
        <v>80</v>
      </c>
      <c r="H184" s="2" t="s">
        <v>324</v>
      </c>
      <c r="I184" s="2" t="s">
        <v>133</v>
      </c>
      <c r="J184" s="2" t="s">
        <v>226</v>
      </c>
      <c r="K184" t="b">
        <v>0</v>
      </c>
      <c r="L184" s="2" t="s">
        <v>130</v>
      </c>
    </row>
    <row r="185" spans="1:12" hidden="1" x14ac:dyDescent="0.3">
      <c r="A185" s="2" t="s">
        <v>8</v>
      </c>
      <c r="B185" s="2" t="s">
        <v>223</v>
      </c>
      <c r="C185">
        <v>96</v>
      </c>
      <c r="D185" s="2" t="s">
        <v>330</v>
      </c>
      <c r="E185" s="2" t="s">
        <v>122</v>
      </c>
      <c r="F185" s="2" t="s">
        <v>122</v>
      </c>
      <c r="G185" s="2" t="s">
        <v>80</v>
      </c>
      <c r="H185" s="2" t="s">
        <v>324</v>
      </c>
      <c r="I185" s="2" t="s">
        <v>133</v>
      </c>
      <c r="J185" s="2" t="s">
        <v>226</v>
      </c>
      <c r="K185" t="b">
        <v>0</v>
      </c>
      <c r="L185" s="2" t="s">
        <v>130</v>
      </c>
    </row>
    <row r="186" spans="1:12" hidden="1" x14ac:dyDescent="0.3">
      <c r="A186" s="2" t="s">
        <v>8</v>
      </c>
      <c r="B186" s="2" t="s">
        <v>223</v>
      </c>
      <c r="C186">
        <v>97</v>
      </c>
      <c r="D186" s="2" t="s">
        <v>331</v>
      </c>
      <c r="E186" s="2" t="s">
        <v>24</v>
      </c>
      <c r="F186" s="2" t="s">
        <v>24</v>
      </c>
      <c r="G186" s="2" t="s">
        <v>80</v>
      </c>
      <c r="H186" s="2" t="s">
        <v>324</v>
      </c>
      <c r="I186" s="2" t="s">
        <v>133</v>
      </c>
      <c r="J186" s="2" t="s">
        <v>226</v>
      </c>
      <c r="K186" t="b">
        <v>0</v>
      </c>
      <c r="L186" s="2" t="s">
        <v>130</v>
      </c>
    </row>
    <row r="187" spans="1:12" hidden="1" x14ac:dyDescent="0.3">
      <c r="A187" s="2" t="s">
        <v>8</v>
      </c>
      <c r="B187" s="2" t="s">
        <v>332</v>
      </c>
      <c r="C187">
        <v>1</v>
      </c>
      <c r="D187" s="2" t="s">
        <v>333</v>
      </c>
      <c r="E187" s="2" t="s">
        <v>56</v>
      </c>
      <c r="F187" s="2" t="s">
        <v>225</v>
      </c>
      <c r="G187" s="2" t="s">
        <v>36</v>
      </c>
      <c r="H187" s="2" t="s">
        <v>132</v>
      </c>
      <c r="I187" s="2" t="s">
        <v>133</v>
      </c>
      <c r="J187" s="2" t="s">
        <v>334</v>
      </c>
      <c r="K187" t="b">
        <v>1</v>
      </c>
      <c r="L187" s="2" t="s">
        <v>130</v>
      </c>
    </row>
    <row r="188" spans="1:12" hidden="1" x14ac:dyDescent="0.3">
      <c r="A188" s="2" t="s">
        <v>8</v>
      </c>
      <c r="B188" s="2" t="s">
        <v>332</v>
      </c>
      <c r="C188">
        <v>2</v>
      </c>
      <c r="D188" s="2" t="s">
        <v>335</v>
      </c>
      <c r="E188" s="2" t="s">
        <v>71</v>
      </c>
      <c r="F188" s="2" t="s">
        <v>228</v>
      </c>
      <c r="G188" s="2" t="s">
        <v>36</v>
      </c>
      <c r="H188" s="2" t="s">
        <v>132</v>
      </c>
      <c r="I188" s="2" t="s">
        <v>133</v>
      </c>
      <c r="J188" s="2" t="s">
        <v>334</v>
      </c>
      <c r="K188" t="b">
        <v>1</v>
      </c>
      <c r="L188" s="2" t="s">
        <v>130</v>
      </c>
    </row>
    <row r="189" spans="1:12" hidden="1" x14ac:dyDescent="0.3">
      <c r="A189" s="2" t="s">
        <v>8</v>
      </c>
      <c r="B189" s="2" t="s">
        <v>332</v>
      </c>
      <c r="C189">
        <v>3</v>
      </c>
      <c r="D189" s="2" t="s">
        <v>336</v>
      </c>
      <c r="E189" s="2" t="s">
        <v>28</v>
      </c>
      <c r="F189" s="2" t="s">
        <v>28</v>
      </c>
      <c r="G189" s="2" t="s">
        <v>36</v>
      </c>
      <c r="H189" s="2" t="s">
        <v>132</v>
      </c>
      <c r="I189" s="2" t="s">
        <v>133</v>
      </c>
      <c r="J189" s="2" t="s">
        <v>334</v>
      </c>
      <c r="K189" t="b">
        <v>0</v>
      </c>
      <c r="L189" s="2" t="s">
        <v>130</v>
      </c>
    </row>
    <row r="190" spans="1:12" hidden="1" x14ac:dyDescent="0.3">
      <c r="A190" s="2" t="s">
        <v>8</v>
      </c>
      <c r="B190" s="2" t="s">
        <v>332</v>
      </c>
      <c r="C190">
        <v>4</v>
      </c>
      <c r="D190" s="2" t="s">
        <v>337</v>
      </c>
      <c r="E190" s="2" t="s">
        <v>30</v>
      </c>
      <c r="F190" s="2" t="s">
        <v>30</v>
      </c>
      <c r="G190" s="2" t="s">
        <v>36</v>
      </c>
      <c r="H190" s="2" t="s">
        <v>132</v>
      </c>
      <c r="I190" s="2" t="s">
        <v>133</v>
      </c>
      <c r="J190" s="2" t="s">
        <v>334</v>
      </c>
      <c r="K190" t="b">
        <v>0</v>
      </c>
      <c r="L190" s="2" t="s">
        <v>130</v>
      </c>
    </row>
    <row r="191" spans="1:12" hidden="1" x14ac:dyDescent="0.3">
      <c r="A191" s="2" t="s">
        <v>8</v>
      </c>
      <c r="B191" s="2" t="s">
        <v>332</v>
      </c>
      <c r="C191">
        <v>5</v>
      </c>
      <c r="D191" s="2" t="s">
        <v>338</v>
      </c>
      <c r="E191" s="2" t="s">
        <v>51</v>
      </c>
      <c r="F191" s="2" t="s">
        <v>51</v>
      </c>
      <c r="G191" s="2" t="s">
        <v>36</v>
      </c>
      <c r="H191" s="2" t="s">
        <v>132</v>
      </c>
      <c r="I191" s="2" t="s">
        <v>133</v>
      </c>
      <c r="J191" s="2" t="s">
        <v>334</v>
      </c>
      <c r="K191" t="b">
        <v>0</v>
      </c>
      <c r="L191" s="2" t="s">
        <v>130</v>
      </c>
    </row>
    <row r="192" spans="1:12" hidden="1" x14ac:dyDescent="0.3">
      <c r="A192" s="2" t="s">
        <v>8</v>
      </c>
      <c r="B192" s="2" t="s">
        <v>332</v>
      </c>
      <c r="C192">
        <v>6</v>
      </c>
      <c r="D192" s="2" t="s">
        <v>339</v>
      </c>
      <c r="E192" s="2" t="s">
        <v>70</v>
      </c>
      <c r="F192" s="2" t="s">
        <v>70</v>
      </c>
      <c r="G192" s="2" t="s">
        <v>36</v>
      </c>
      <c r="H192" s="2" t="s">
        <v>132</v>
      </c>
      <c r="I192" s="2" t="s">
        <v>133</v>
      </c>
      <c r="J192" s="2" t="s">
        <v>334</v>
      </c>
      <c r="K192" t="b">
        <v>0</v>
      </c>
      <c r="L192" s="2" t="s">
        <v>130</v>
      </c>
    </row>
    <row r="193" spans="1:12" hidden="1" x14ac:dyDescent="0.3">
      <c r="A193" s="2" t="s">
        <v>8</v>
      </c>
      <c r="B193" s="2" t="s">
        <v>332</v>
      </c>
      <c r="C193">
        <v>7</v>
      </c>
      <c r="D193" s="2" t="s">
        <v>340</v>
      </c>
      <c r="E193" s="2" t="s">
        <v>48</v>
      </c>
      <c r="F193" s="2" t="s">
        <v>48</v>
      </c>
      <c r="G193" s="2" t="s">
        <v>36</v>
      </c>
      <c r="H193" s="2" t="s">
        <v>132</v>
      </c>
      <c r="I193" s="2" t="s">
        <v>133</v>
      </c>
      <c r="J193" s="2" t="s">
        <v>334</v>
      </c>
      <c r="K193" t="b">
        <v>0</v>
      </c>
      <c r="L193" s="2" t="s">
        <v>130</v>
      </c>
    </row>
    <row r="194" spans="1:12" hidden="1" x14ac:dyDescent="0.3">
      <c r="A194" s="2" t="s">
        <v>8</v>
      </c>
      <c r="B194" s="2" t="s">
        <v>332</v>
      </c>
      <c r="C194">
        <v>8</v>
      </c>
      <c r="D194" s="2" t="s">
        <v>341</v>
      </c>
      <c r="E194" s="2" t="s">
        <v>7</v>
      </c>
      <c r="F194" s="2" t="s">
        <v>7</v>
      </c>
      <c r="G194" s="2" t="s">
        <v>36</v>
      </c>
      <c r="H194" s="2" t="s">
        <v>132</v>
      </c>
      <c r="I194" s="2" t="s">
        <v>133</v>
      </c>
      <c r="J194" s="2" t="s">
        <v>334</v>
      </c>
      <c r="K194" t="b">
        <v>0</v>
      </c>
      <c r="L194" s="2" t="s">
        <v>130</v>
      </c>
    </row>
    <row r="195" spans="1:12" hidden="1" x14ac:dyDescent="0.3">
      <c r="A195" s="2" t="s">
        <v>8</v>
      </c>
      <c r="B195" s="2" t="s">
        <v>332</v>
      </c>
      <c r="C195">
        <v>9</v>
      </c>
      <c r="D195" s="2" t="s">
        <v>342</v>
      </c>
      <c r="E195" s="2" t="s">
        <v>31</v>
      </c>
      <c r="F195" s="2" t="s">
        <v>31</v>
      </c>
      <c r="G195" s="2" t="s">
        <v>36</v>
      </c>
      <c r="H195" s="2" t="s">
        <v>132</v>
      </c>
      <c r="I195" s="2" t="s">
        <v>133</v>
      </c>
      <c r="J195" s="2" t="s">
        <v>334</v>
      </c>
      <c r="K195" t="b">
        <v>0</v>
      </c>
      <c r="L195" s="2" t="s">
        <v>130</v>
      </c>
    </row>
    <row r="196" spans="1:12" hidden="1" x14ac:dyDescent="0.3">
      <c r="A196" s="2" t="s">
        <v>8</v>
      </c>
      <c r="B196" s="2" t="s">
        <v>332</v>
      </c>
      <c r="C196">
        <v>10</v>
      </c>
      <c r="D196" s="2" t="s">
        <v>343</v>
      </c>
      <c r="E196" s="2" t="s">
        <v>33</v>
      </c>
      <c r="F196" s="2" t="s">
        <v>33</v>
      </c>
      <c r="G196" s="2" t="s">
        <v>36</v>
      </c>
      <c r="H196" s="2" t="s">
        <v>132</v>
      </c>
      <c r="I196" s="2" t="s">
        <v>133</v>
      </c>
      <c r="J196" s="2" t="s">
        <v>334</v>
      </c>
      <c r="K196" t="b">
        <v>0</v>
      </c>
      <c r="L196" s="2" t="s">
        <v>130</v>
      </c>
    </row>
    <row r="197" spans="1:12" hidden="1" x14ac:dyDescent="0.3">
      <c r="A197" s="2" t="s">
        <v>8</v>
      </c>
      <c r="B197" s="2" t="s">
        <v>332</v>
      </c>
      <c r="C197">
        <v>11</v>
      </c>
      <c r="D197" s="2" t="s">
        <v>344</v>
      </c>
      <c r="E197" s="2" t="s">
        <v>58</v>
      </c>
      <c r="F197" s="2" t="s">
        <v>58</v>
      </c>
      <c r="G197" s="2" t="s">
        <v>36</v>
      </c>
      <c r="H197" s="2" t="s">
        <v>132</v>
      </c>
      <c r="I197" s="2" t="s">
        <v>133</v>
      </c>
      <c r="J197" s="2" t="s">
        <v>334</v>
      </c>
      <c r="K197" t="b">
        <v>0</v>
      </c>
      <c r="L197" s="2" t="s">
        <v>130</v>
      </c>
    </row>
    <row r="198" spans="1:12" hidden="1" x14ac:dyDescent="0.3">
      <c r="A198" s="2" t="s">
        <v>8</v>
      </c>
      <c r="B198" s="2" t="s">
        <v>332</v>
      </c>
      <c r="C198">
        <v>12</v>
      </c>
      <c r="D198" s="2" t="s">
        <v>345</v>
      </c>
      <c r="E198" s="2" t="s">
        <v>59</v>
      </c>
      <c r="F198" s="2" t="s">
        <v>239</v>
      </c>
      <c r="G198" s="2" t="s">
        <v>36</v>
      </c>
      <c r="H198" s="2" t="s">
        <v>132</v>
      </c>
      <c r="I198" s="2" t="s">
        <v>133</v>
      </c>
      <c r="J198" s="2" t="s">
        <v>334</v>
      </c>
      <c r="K198" t="b">
        <v>1</v>
      </c>
      <c r="L198" s="2" t="s">
        <v>130</v>
      </c>
    </row>
    <row r="199" spans="1:12" hidden="1" x14ac:dyDescent="0.3">
      <c r="A199" s="2" t="s">
        <v>8</v>
      </c>
      <c r="B199" s="2" t="s">
        <v>332</v>
      </c>
      <c r="C199">
        <v>13</v>
      </c>
      <c r="D199" s="2" t="s">
        <v>346</v>
      </c>
      <c r="E199" s="2" t="s">
        <v>61</v>
      </c>
      <c r="F199" s="2" t="s">
        <v>241</v>
      </c>
      <c r="G199" s="2" t="s">
        <v>36</v>
      </c>
      <c r="H199" s="2" t="s">
        <v>132</v>
      </c>
      <c r="I199" s="2" t="s">
        <v>133</v>
      </c>
      <c r="J199" s="2" t="s">
        <v>334</v>
      </c>
      <c r="K199" t="b">
        <v>1</v>
      </c>
      <c r="L199" s="2" t="s">
        <v>130</v>
      </c>
    </row>
    <row r="200" spans="1:12" hidden="1" x14ac:dyDescent="0.3">
      <c r="A200" s="2" t="s">
        <v>8</v>
      </c>
      <c r="B200" s="2" t="s">
        <v>332</v>
      </c>
      <c r="C200">
        <v>14</v>
      </c>
      <c r="D200" s="2" t="s">
        <v>347</v>
      </c>
      <c r="E200" s="2" t="s">
        <v>121</v>
      </c>
      <c r="F200" s="2" t="s">
        <v>121</v>
      </c>
      <c r="G200" s="2" t="s">
        <v>36</v>
      </c>
      <c r="H200" s="2" t="s">
        <v>132</v>
      </c>
      <c r="I200" s="2" t="s">
        <v>133</v>
      </c>
      <c r="J200" s="2" t="s">
        <v>334</v>
      </c>
      <c r="K200" t="b">
        <v>0</v>
      </c>
      <c r="L200" s="2" t="s">
        <v>130</v>
      </c>
    </row>
    <row r="201" spans="1:12" hidden="1" x14ac:dyDescent="0.3">
      <c r="A201" s="2" t="s">
        <v>8</v>
      </c>
      <c r="B201" s="2" t="s">
        <v>332</v>
      </c>
      <c r="C201">
        <v>15</v>
      </c>
      <c r="D201" s="2" t="s">
        <v>348</v>
      </c>
      <c r="E201" s="2" t="s">
        <v>62</v>
      </c>
      <c r="F201" s="2" t="s">
        <v>62</v>
      </c>
      <c r="G201" s="2" t="s">
        <v>36</v>
      </c>
      <c r="H201" s="2" t="s">
        <v>132</v>
      </c>
      <c r="I201" s="2" t="s">
        <v>133</v>
      </c>
      <c r="J201" s="2" t="s">
        <v>334</v>
      </c>
      <c r="K201" t="b">
        <v>0</v>
      </c>
      <c r="L201" s="2" t="s">
        <v>130</v>
      </c>
    </row>
    <row r="202" spans="1:12" hidden="1" x14ac:dyDescent="0.3">
      <c r="A202" s="2" t="s">
        <v>8</v>
      </c>
      <c r="B202" s="2" t="s">
        <v>332</v>
      </c>
      <c r="C202">
        <v>16</v>
      </c>
      <c r="D202" s="2" t="s">
        <v>349</v>
      </c>
      <c r="E202" s="2" t="s">
        <v>17</v>
      </c>
      <c r="F202" s="2" t="s">
        <v>17</v>
      </c>
      <c r="G202" s="2" t="s">
        <v>36</v>
      </c>
      <c r="H202" s="2" t="s">
        <v>132</v>
      </c>
      <c r="I202" s="2" t="s">
        <v>133</v>
      </c>
      <c r="J202" s="2" t="s">
        <v>334</v>
      </c>
      <c r="K202" t="b">
        <v>0</v>
      </c>
      <c r="L202" s="2" t="s">
        <v>130</v>
      </c>
    </row>
    <row r="203" spans="1:12" hidden="1" x14ac:dyDescent="0.3">
      <c r="A203" s="2" t="s">
        <v>8</v>
      </c>
      <c r="B203" s="2" t="s">
        <v>332</v>
      </c>
      <c r="C203">
        <v>17</v>
      </c>
      <c r="D203" s="2" t="s">
        <v>350</v>
      </c>
      <c r="E203" s="2" t="s">
        <v>60</v>
      </c>
      <c r="F203" s="2" t="s">
        <v>60</v>
      </c>
      <c r="G203" s="2" t="s">
        <v>36</v>
      </c>
      <c r="H203" s="2" t="s">
        <v>132</v>
      </c>
      <c r="I203" s="2" t="s">
        <v>133</v>
      </c>
      <c r="J203" s="2" t="s">
        <v>334</v>
      </c>
      <c r="K203" t="b">
        <v>0</v>
      </c>
      <c r="L203" s="2" t="s">
        <v>130</v>
      </c>
    </row>
    <row r="204" spans="1:12" hidden="1" x14ac:dyDescent="0.3">
      <c r="A204" s="2" t="s">
        <v>8</v>
      </c>
      <c r="B204" s="2" t="s">
        <v>332</v>
      </c>
      <c r="C204">
        <v>18</v>
      </c>
      <c r="D204" s="2" t="s">
        <v>351</v>
      </c>
      <c r="E204" s="2" t="s">
        <v>11</v>
      </c>
      <c r="F204" s="2" t="s">
        <v>11</v>
      </c>
      <c r="G204" s="2" t="s">
        <v>36</v>
      </c>
      <c r="H204" s="2" t="s">
        <v>132</v>
      </c>
      <c r="I204" s="2" t="s">
        <v>133</v>
      </c>
      <c r="J204" s="2" t="s">
        <v>334</v>
      </c>
      <c r="K204" t="b">
        <v>0</v>
      </c>
      <c r="L204" s="2" t="s">
        <v>130</v>
      </c>
    </row>
    <row r="205" spans="1:12" hidden="1" x14ac:dyDescent="0.3">
      <c r="A205" s="2" t="s">
        <v>8</v>
      </c>
      <c r="B205" s="2" t="s">
        <v>332</v>
      </c>
      <c r="C205">
        <v>19</v>
      </c>
      <c r="D205" s="2" t="s">
        <v>352</v>
      </c>
      <c r="E205" s="2" t="s">
        <v>55</v>
      </c>
      <c r="F205" s="2" t="s">
        <v>55</v>
      </c>
      <c r="G205" s="2" t="s">
        <v>36</v>
      </c>
      <c r="H205" s="2" t="s">
        <v>132</v>
      </c>
      <c r="I205" s="2" t="s">
        <v>133</v>
      </c>
      <c r="J205" s="2" t="s">
        <v>334</v>
      </c>
      <c r="K205" t="b">
        <v>0</v>
      </c>
      <c r="L205" s="2" t="s">
        <v>130</v>
      </c>
    </row>
    <row r="206" spans="1:12" hidden="1" x14ac:dyDescent="0.3">
      <c r="A206" s="2" t="s">
        <v>8</v>
      </c>
      <c r="B206" s="2" t="s">
        <v>332</v>
      </c>
      <c r="C206">
        <v>20</v>
      </c>
      <c r="D206" s="2" t="s">
        <v>353</v>
      </c>
      <c r="E206" s="2" t="s">
        <v>66</v>
      </c>
      <c r="F206" s="2" t="s">
        <v>66</v>
      </c>
      <c r="G206" s="2" t="s">
        <v>36</v>
      </c>
      <c r="H206" s="2" t="s">
        <v>132</v>
      </c>
      <c r="I206" s="2" t="s">
        <v>133</v>
      </c>
      <c r="J206" s="2" t="s">
        <v>334</v>
      </c>
      <c r="K206" t="b">
        <v>0</v>
      </c>
      <c r="L206" s="2" t="s">
        <v>130</v>
      </c>
    </row>
    <row r="207" spans="1:12" hidden="1" x14ac:dyDescent="0.3">
      <c r="A207" s="2" t="s">
        <v>8</v>
      </c>
      <c r="B207" s="2" t="s">
        <v>332</v>
      </c>
      <c r="C207">
        <v>21</v>
      </c>
      <c r="D207" s="2" t="s">
        <v>354</v>
      </c>
      <c r="E207" s="2" t="s">
        <v>25</v>
      </c>
      <c r="F207" s="2" t="s">
        <v>25</v>
      </c>
      <c r="G207" s="2" t="s">
        <v>36</v>
      </c>
      <c r="H207" s="2" t="s">
        <v>132</v>
      </c>
      <c r="I207" s="2" t="s">
        <v>133</v>
      </c>
      <c r="J207" s="2" t="s">
        <v>334</v>
      </c>
      <c r="K207" t="b">
        <v>0</v>
      </c>
      <c r="L207" s="2" t="s">
        <v>130</v>
      </c>
    </row>
    <row r="208" spans="1:12" hidden="1" x14ac:dyDescent="0.3">
      <c r="A208" s="2" t="s">
        <v>8</v>
      </c>
      <c r="B208" s="2" t="s">
        <v>332</v>
      </c>
      <c r="C208">
        <v>22</v>
      </c>
      <c r="D208" s="2" t="s">
        <v>355</v>
      </c>
      <c r="E208" s="2" t="s">
        <v>26</v>
      </c>
      <c r="F208" s="2" t="s">
        <v>26</v>
      </c>
      <c r="G208" s="2" t="s">
        <v>36</v>
      </c>
      <c r="H208" s="2" t="s">
        <v>132</v>
      </c>
      <c r="I208" s="2" t="s">
        <v>133</v>
      </c>
      <c r="J208" s="2" t="s">
        <v>334</v>
      </c>
      <c r="K208" t="b">
        <v>0</v>
      </c>
      <c r="L208" s="2" t="s">
        <v>130</v>
      </c>
    </row>
    <row r="209" spans="1:12" hidden="1" x14ac:dyDescent="0.3">
      <c r="A209" s="2" t="s">
        <v>8</v>
      </c>
      <c r="B209" s="2" t="s">
        <v>332</v>
      </c>
      <c r="C209">
        <v>23</v>
      </c>
      <c r="D209" s="2" t="s">
        <v>356</v>
      </c>
      <c r="E209" s="2" t="s">
        <v>27</v>
      </c>
      <c r="F209" s="2" t="s">
        <v>27</v>
      </c>
      <c r="G209" s="2" t="s">
        <v>36</v>
      </c>
      <c r="H209" s="2" t="s">
        <v>132</v>
      </c>
      <c r="I209" s="2" t="s">
        <v>133</v>
      </c>
      <c r="J209" s="2" t="s">
        <v>334</v>
      </c>
      <c r="K209" t="b">
        <v>0</v>
      </c>
      <c r="L209" s="2" t="s">
        <v>130</v>
      </c>
    </row>
    <row r="210" spans="1:12" hidden="1" x14ac:dyDescent="0.3">
      <c r="A210" s="2" t="s">
        <v>8</v>
      </c>
      <c r="B210" s="2" t="s">
        <v>332</v>
      </c>
      <c r="C210">
        <v>24</v>
      </c>
      <c r="D210" s="2" t="s">
        <v>357</v>
      </c>
      <c r="E210" s="2" t="s">
        <v>47</v>
      </c>
      <c r="F210" s="2" t="s">
        <v>47</v>
      </c>
      <c r="G210" s="2" t="s">
        <v>36</v>
      </c>
      <c r="H210" s="2" t="s">
        <v>132</v>
      </c>
      <c r="I210" s="2" t="s">
        <v>133</v>
      </c>
      <c r="J210" s="2" t="s">
        <v>334</v>
      </c>
      <c r="K210" t="b">
        <v>0</v>
      </c>
      <c r="L210" s="2" t="s">
        <v>130</v>
      </c>
    </row>
    <row r="211" spans="1:12" hidden="1" x14ac:dyDescent="0.3">
      <c r="A211" s="2" t="s">
        <v>8</v>
      </c>
      <c r="B211" s="2" t="s">
        <v>332</v>
      </c>
      <c r="C211">
        <v>25</v>
      </c>
      <c r="D211" s="2" t="s">
        <v>358</v>
      </c>
      <c r="E211" s="2" t="s">
        <v>24</v>
      </c>
      <c r="F211" s="2" t="s">
        <v>24</v>
      </c>
      <c r="G211" s="2" t="s">
        <v>36</v>
      </c>
      <c r="H211" s="2" t="s">
        <v>132</v>
      </c>
      <c r="I211" s="2" t="s">
        <v>133</v>
      </c>
      <c r="J211" s="2" t="s">
        <v>334</v>
      </c>
      <c r="K211" t="b">
        <v>0</v>
      </c>
      <c r="L211" s="2" t="s">
        <v>130</v>
      </c>
    </row>
    <row r="212" spans="1:12" hidden="1" x14ac:dyDescent="0.3">
      <c r="A212" s="2" t="s">
        <v>8</v>
      </c>
      <c r="B212" s="2" t="s">
        <v>332</v>
      </c>
      <c r="C212">
        <v>26</v>
      </c>
      <c r="D212" s="2" t="s">
        <v>359</v>
      </c>
      <c r="E212" s="2" t="s">
        <v>65</v>
      </c>
      <c r="F212" s="2" t="s">
        <v>65</v>
      </c>
      <c r="G212" s="2" t="s">
        <v>36</v>
      </c>
      <c r="H212" s="2" t="s">
        <v>132</v>
      </c>
      <c r="I212" s="2" t="s">
        <v>133</v>
      </c>
      <c r="J212" s="2" t="s">
        <v>334</v>
      </c>
      <c r="K212" t="b">
        <v>0</v>
      </c>
      <c r="L212" s="2" t="s">
        <v>130</v>
      </c>
    </row>
    <row r="213" spans="1:12" hidden="1" x14ac:dyDescent="0.3">
      <c r="A213" s="2" t="s">
        <v>8</v>
      </c>
      <c r="B213" s="2" t="s">
        <v>332</v>
      </c>
      <c r="C213">
        <v>27</v>
      </c>
      <c r="D213" s="2" t="s">
        <v>360</v>
      </c>
      <c r="E213" s="2" t="s">
        <v>63</v>
      </c>
      <c r="F213" s="2" t="s">
        <v>257</v>
      </c>
      <c r="G213" s="2" t="s">
        <v>36</v>
      </c>
      <c r="H213" s="2" t="s">
        <v>132</v>
      </c>
      <c r="I213" s="2" t="s">
        <v>133</v>
      </c>
      <c r="J213" s="2" t="s">
        <v>334</v>
      </c>
      <c r="K213" t="b">
        <v>1</v>
      </c>
      <c r="L213" s="2" t="s">
        <v>130</v>
      </c>
    </row>
    <row r="214" spans="1:12" hidden="1" x14ac:dyDescent="0.3">
      <c r="A214" s="2" t="s">
        <v>8</v>
      </c>
      <c r="B214" s="2" t="s">
        <v>332</v>
      </c>
      <c r="C214">
        <v>28</v>
      </c>
      <c r="D214" s="2" t="s">
        <v>361</v>
      </c>
      <c r="E214" s="2" t="s">
        <v>13</v>
      </c>
      <c r="F214" s="2" t="s">
        <v>13</v>
      </c>
      <c r="G214" s="2" t="s">
        <v>36</v>
      </c>
      <c r="H214" s="2" t="s">
        <v>132</v>
      </c>
      <c r="I214" s="2" t="s">
        <v>133</v>
      </c>
      <c r="J214" s="2" t="s">
        <v>334</v>
      </c>
      <c r="K214" t="b">
        <v>0</v>
      </c>
      <c r="L214" s="2" t="s">
        <v>130</v>
      </c>
    </row>
    <row r="215" spans="1:12" hidden="1" x14ac:dyDescent="0.3">
      <c r="A215" s="2" t="s">
        <v>8</v>
      </c>
      <c r="B215" s="2" t="s">
        <v>332</v>
      </c>
      <c r="C215">
        <v>29</v>
      </c>
      <c r="D215" s="2" t="s">
        <v>362</v>
      </c>
      <c r="E215" s="2" t="s">
        <v>72</v>
      </c>
      <c r="F215" s="2" t="s">
        <v>72</v>
      </c>
      <c r="G215" s="2" t="s">
        <v>36</v>
      </c>
      <c r="H215" s="2" t="s">
        <v>132</v>
      </c>
      <c r="I215" s="2" t="s">
        <v>133</v>
      </c>
      <c r="J215" s="2" t="s">
        <v>334</v>
      </c>
      <c r="K215" t="b">
        <v>0</v>
      </c>
      <c r="L215" s="2" t="s">
        <v>130</v>
      </c>
    </row>
    <row r="216" spans="1:12" hidden="1" x14ac:dyDescent="0.3">
      <c r="A216" s="2" t="s">
        <v>8</v>
      </c>
      <c r="B216" s="2" t="s">
        <v>332</v>
      </c>
      <c r="C216">
        <v>30</v>
      </c>
      <c r="D216" s="2" t="s">
        <v>363</v>
      </c>
      <c r="E216" s="2" t="s">
        <v>16</v>
      </c>
      <c r="F216" s="2" t="s">
        <v>155</v>
      </c>
      <c r="G216" s="2" t="s">
        <v>36</v>
      </c>
      <c r="H216" s="2" t="s">
        <v>132</v>
      </c>
      <c r="I216" s="2" t="s">
        <v>133</v>
      </c>
      <c r="J216" s="2" t="s">
        <v>334</v>
      </c>
      <c r="K216" t="b">
        <v>1</v>
      </c>
      <c r="L216" s="2" t="s">
        <v>130</v>
      </c>
    </row>
    <row r="217" spans="1:12" hidden="1" x14ac:dyDescent="0.3">
      <c r="A217" s="2" t="s">
        <v>8</v>
      </c>
      <c r="B217" s="2" t="s">
        <v>332</v>
      </c>
      <c r="C217">
        <v>31</v>
      </c>
      <c r="D217" s="2" t="s">
        <v>364</v>
      </c>
      <c r="E217" s="2" t="s">
        <v>18</v>
      </c>
      <c r="F217" s="2" t="s">
        <v>18</v>
      </c>
      <c r="G217" s="2" t="s">
        <v>36</v>
      </c>
      <c r="H217" s="2" t="s">
        <v>132</v>
      </c>
      <c r="I217" s="2" t="s">
        <v>133</v>
      </c>
      <c r="J217" s="2" t="s">
        <v>334</v>
      </c>
      <c r="K217" t="b">
        <v>0</v>
      </c>
      <c r="L217" s="2" t="s">
        <v>130</v>
      </c>
    </row>
    <row r="218" spans="1:12" hidden="1" x14ac:dyDescent="0.3">
      <c r="A218" s="2" t="s">
        <v>8</v>
      </c>
      <c r="B218" s="2" t="s">
        <v>332</v>
      </c>
      <c r="C218">
        <v>32</v>
      </c>
      <c r="D218" s="2" t="s">
        <v>365</v>
      </c>
      <c r="E218" s="2" t="s">
        <v>77</v>
      </c>
      <c r="F218" s="2" t="s">
        <v>77</v>
      </c>
      <c r="G218" s="2" t="s">
        <v>36</v>
      </c>
      <c r="H218" s="2" t="s">
        <v>132</v>
      </c>
      <c r="I218" s="2" t="s">
        <v>133</v>
      </c>
      <c r="J218" s="2" t="s">
        <v>334</v>
      </c>
      <c r="K218" t="b">
        <v>0</v>
      </c>
      <c r="L218" s="2" t="s">
        <v>130</v>
      </c>
    </row>
    <row r="219" spans="1:12" hidden="1" x14ac:dyDescent="0.3">
      <c r="A219" s="2" t="s">
        <v>8</v>
      </c>
      <c r="B219" s="2" t="s">
        <v>332</v>
      </c>
      <c r="C219">
        <v>33</v>
      </c>
      <c r="D219" s="2" t="s">
        <v>366</v>
      </c>
      <c r="E219" s="2" t="s">
        <v>81</v>
      </c>
      <c r="F219" s="2" t="s">
        <v>81</v>
      </c>
      <c r="G219" s="2" t="s">
        <v>124</v>
      </c>
      <c r="H219" s="2" t="s">
        <v>367</v>
      </c>
      <c r="I219" s="2" t="s">
        <v>133</v>
      </c>
      <c r="J219" s="2" t="s">
        <v>334</v>
      </c>
      <c r="K219" t="b">
        <v>0</v>
      </c>
      <c r="L219" s="2" t="s">
        <v>130</v>
      </c>
    </row>
    <row r="220" spans="1:12" hidden="1" x14ac:dyDescent="0.3">
      <c r="A220" s="2" t="s">
        <v>8</v>
      </c>
      <c r="B220" s="2" t="s">
        <v>332</v>
      </c>
      <c r="C220">
        <v>34</v>
      </c>
      <c r="D220" s="2" t="s">
        <v>368</v>
      </c>
      <c r="E220" s="2" t="s">
        <v>68</v>
      </c>
      <c r="F220" s="2" t="s">
        <v>68</v>
      </c>
      <c r="G220" s="2" t="s">
        <v>124</v>
      </c>
      <c r="H220" s="2" t="s">
        <v>367</v>
      </c>
      <c r="I220" s="2" t="s">
        <v>133</v>
      </c>
      <c r="J220" s="2" t="s">
        <v>334</v>
      </c>
      <c r="K220" t="b">
        <v>0</v>
      </c>
      <c r="L220" s="2" t="s">
        <v>130</v>
      </c>
    </row>
    <row r="221" spans="1:12" hidden="1" x14ac:dyDescent="0.3">
      <c r="A221" s="2" t="s">
        <v>8</v>
      </c>
      <c r="B221" s="2" t="s">
        <v>332</v>
      </c>
      <c r="C221">
        <v>35</v>
      </c>
      <c r="D221" s="2" t="s">
        <v>369</v>
      </c>
      <c r="E221" s="2" t="s">
        <v>82</v>
      </c>
      <c r="F221" s="2" t="s">
        <v>82</v>
      </c>
      <c r="G221" s="2" t="s">
        <v>124</v>
      </c>
      <c r="H221" s="2" t="s">
        <v>367</v>
      </c>
      <c r="I221" s="2" t="s">
        <v>133</v>
      </c>
      <c r="J221" s="2" t="s">
        <v>334</v>
      </c>
      <c r="K221" t="b">
        <v>0</v>
      </c>
      <c r="L221" s="2" t="s">
        <v>130</v>
      </c>
    </row>
    <row r="222" spans="1:12" hidden="1" x14ac:dyDescent="0.3">
      <c r="A222" s="2" t="s">
        <v>8</v>
      </c>
      <c r="B222" s="2" t="s">
        <v>332</v>
      </c>
      <c r="C222">
        <v>36</v>
      </c>
      <c r="D222" s="2" t="s">
        <v>370</v>
      </c>
      <c r="E222" s="2" t="s">
        <v>67</v>
      </c>
      <c r="F222" s="2" t="s">
        <v>67</v>
      </c>
      <c r="G222" s="2" t="s">
        <v>124</v>
      </c>
      <c r="H222" s="2" t="s">
        <v>367</v>
      </c>
      <c r="I222" s="2" t="s">
        <v>133</v>
      </c>
      <c r="J222" s="2" t="s">
        <v>334</v>
      </c>
      <c r="K222" t="b">
        <v>0</v>
      </c>
      <c r="L222" s="2" t="s">
        <v>130</v>
      </c>
    </row>
    <row r="223" spans="1:12" hidden="1" x14ac:dyDescent="0.3">
      <c r="A223" s="2" t="s">
        <v>8</v>
      </c>
      <c r="B223" s="2" t="s">
        <v>332</v>
      </c>
      <c r="C223">
        <v>37</v>
      </c>
      <c r="D223" s="2" t="s">
        <v>371</v>
      </c>
      <c r="E223" s="2" t="s">
        <v>83</v>
      </c>
      <c r="F223" s="2" t="s">
        <v>83</v>
      </c>
      <c r="G223" s="2" t="s">
        <v>124</v>
      </c>
      <c r="H223" s="2" t="s">
        <v>367</v>
      </c>
      <c r="I223" s="2" t="s">
        <v>133</v>
      </c>
      <c r="J223" s="2" t="s">
        <v>334</v>
      </c>
      <c r="K223" t="b">
        <v>0</v>
      </c>
      <c r="L223" s="2" t="s">
        <v>130</v>
      </c>
    </row>
    <row r="224" spans="1:12" hidden="1" x14ac:dyDescent="0.3">
      <c r="A224" s="2" t="s">
        <v>8</v>
      </c>
      <c r="B224" s="2" t="s">
        <v>332</v>
      </c>
      <c r="C224">
        <v>38</v>
      </c>
      <c r="D224" s="2" t="s">
        <v>372</v>
      </c>
      <c r="E224" s="2" t="s">
        <v>57</v>
      </c>
      <c r="F224" s="2" t="s">
        <v>57</v>
      </c>
      <c r="G224" s="2" t="s">
        <v>124</v>
      </c>
      <c r="H224" s="2" t="s">
        <v>367</v>
      </c>
      <c r="I224" s="2" t="s">
        <v>133</v>
      </c>
      <c r="J224" s="2" t="s">
        <v>334</v>
      </c>
      <c r="K224" t="b">
        <v>0</v>
      </c>
      <c r="L224" s="2" t="s">
        <v>130</v>
      </c>
    </row>
    <row r="225" spans="1:12" hidden="1" x14ac:dyDescent="0.3">
      <c r="A225" s="2" t="s">
        <v>8</v>
      </c>
      <c r="B225" s="2" t="s">
        <v>332</v>
      </c>
      <c r="C225">
        <v>39</v>
      </c>
      <c r="D225" s="2" t="s">
        <v>373</v>
      </c>
      <c r="E225" s="2" t="s">
        <v>64</v>
      </c>
      <c r="F225" s="2" t="s">
        <v>64</v>
      </c>
      <c r="G225" s="2" t="s">
        <v>124</v>
      </c>
      <c r="H225" s="2" t="s">
        <v>367</v>
      </c>
      <c r="I225" s="2" t="s">
        <v>133</v>
      </c>
      <c r="J225" s="2" t="s">
        <v>334</v>
      </c>
      <c r="K225" t="b">
        <v>0</v>
      </c>
      <c r="L225" s="2" t="s">
        <v>130</v>
      </c>
    </row>
    <row r="226" spans="1:12" hidden="1" x14ac:dyDescent="0.3">
      <c r="A226" s="2" t="s">
        <v>8</v>
      </c>
      <c r="B226" s="2" t="s">
        <v>332</v>
      </c>
      <c r="C226">
        <v>40</v>
      </c>
      <c r="D226" s="2" t="s">
        <v>374</v>
      </c>
      <c r="E226" s="2" t="s">
        <v>54</v>
      </c>
      <c r="F226" s="2" t="s">
        <v>54</v>
      </c>
      <c r="G226" s="2" t="s">
        <v>124</v>
      </c>
      <c r="H226" s="2" t="s">
        <v>367</v>
      </c>
      <c r="I226" s="2" t="s">
        <v>133</v>
      </c>
      <c r="J226" s="2" t="s">
        <v>334</v>
      </c>
      <c r="K226" t="b">
        <v>0</v>
      </c>
      <c r="L226" s="2" t="s">
        <v>130</v>
      </c>
    </row>
    <row r="227" spans="1:12" hidden="1" x14ac:dyDescent="0.3">
      <c r="A227" s="2" t="s">
        <v>8</v>
      </c>
      <c r="B227" s="2" t="s">
        <v>332</v>
      </c>
      <c r="C227">
        <v>41</v>
      </c>
      <c r="D227" s="2" t="s">
        <v>375</v>
      </c>
      <c r="E227" s="2" t="s">
        <v>84</v>
      </c>
      <c r="F227" s="2" t="s">
        <v>84</v>
      </c>
      <c r="G227" s="2" t="s">
        <v>124</v>
      </c>
      <c r="H227" s="2" t="s">
        <v>367</v>
      </c>
      <c r="I227" s="2" t="s">
        <v>133</v>
      </c>
      <c r="J227" s="2" t="s">
        <v>334</v>
      </c>
      <c r="K227" t="b">
        <v>0</v>
      </c>
      <c r="L227" s="2" t="s">
        <v>130</v>
      </c>
    </row>
    <row r="228" spans="1:12" hidden="1" x14ac:dyDescent="0.3">
      <c r="A228" s="2" t="s">
        <v>8</v>
      </c>
      <c r="B228" s="2" t="s">
        <v>332</v>
      </c>
      <c r="C228">
        <v>42</v>
      </c>
      <c r="D228" s="2" t="s">
        <v>376</v>
      </c>
      <c r="E228" s="2" t="s">
        <v>69</v>
      </c>
      <c r="F228" s="2" t="s">
        <v>69</v>
      </c>
      <c r="G228" s="2" t="s">
        <v>124</v>
      </c>
      <c r="H228" s="2" t="s">
        <v>367</v>
      </c>
      <c r="I228" s="2" t="s">
        <v>133</v>
      </c>
      <c r="J228" s="2" t="s">
        <v>334</v>
      </c>
      <c r="K228" t="b">
        <v>0</v>
      </c>
      <c r="L228" s="2" t="s">
        <v>130</v>
      </c>
    </row>
    <row r="229" spans="1:12" hidden="1" x14ac:dyDescent="0.3">
      <c r="A229" s="2" t="s">
        <v>8</v>
      </c>
      <c r="B229" s="2" t="s">
        <v>332</v>
      </c>
      <c r="C229">
        <v>43</v>
      </c>
      <c r="D229" s="2" t="s">
        <v>377</v>
      </c>
      <c r="E229" s="2" t="s">
        <v>119</v>
      </c>
      <c r="F229" s="2" t="s">
        <v>119</v>
      </c>
      <c r="G229" s="2" t="s">
        <v>38</v>
      </c>
      <c r="H229" s="2" t="s">
        <v>158</v>
      </c>
      <c r="I229" s="2" t="s">
        <v>133</v>
      </c>
      <c r="J229" s="2" t="s">
        <v>334</v>
      </c>
      <c r="K229" t="b">
        <v>0</v>
      </c>
      <c r="L229" s="2" t="s">
        <v>130</v>
      </c>
    </row>
    <row r="230" spans="1:12" hidden="1" x14ac:dyDescent="0.3">
      <c r="A230" s="2" t="s">
        <v>8</v>
      </c>
      <c r="B230" s="2" t="s">
        <v>332</v>
      </c>
      <c r="C230">
        <v>44</v>
      </c>
      <c r="D230" s="2" t="s">
        <v>378</v>
      </c>
      <c r="E230" s="2" t="s">
        <v>49</v>
      </c>
      <c r="F230" s="2" t="s">
        <v>49</v>
      </c>
      <c r="G230" s="2" t="s">
        <v>38</v>
      </c>
      <c r="H230" s="2" t="s">
        <v>158</v>
      </c>
      <c r="I230" s="2" t="s">
        <v>133</v>
      </c>
      <c r="J230" s="2" t="s">
        <v>334</v>
      </c>
      <c r="K230" t="b">
        <v>0</v>
      </c>
      <c r="L230" s="2" t="s">
        <v>130</v>
      </c>
    </row>
    <row r="231" spans="1:12" hidden="1" x14ac:dyDescent="0.3">
      <c r="A231" s="2" t="s">
        <v>8</v>
      </c>
      <c r="B231" s="2" t="s">
        <v>332</v>
      </c>
      <c r="C231">
        <v>45</v>
      </c>
      <c r="D231" s="2" t="s">
        <v>379</v>
      </c>
      <c r="E231" s="2" t="s">
        <v>37</v>
      </c>
      <c r="F231" s="2" t="s">
        <v>37</v>
      </c>
      <c r="G231" s="2" t="s">
        <v>38</v>
      </c>
      <c r="H231" s="2" t="s">
        <v>158</v>
      </c>
      <c r="I231" s="2" t="s">
        <v>133</v>
      </c>
      <c r="J231" s="2" t="s">
        <v>334</v>
      </c>
      <c r="K231" t="b">
        <v>0</v>
      </c>
      <c r="L231" s="2" t="s">
        <v>130</v>
      </c>
    </row>
    <row r="232" spans="1:12" hidden="1" x14ac:dyDescent="0.3">
      <c r="A232" s="2" t="s">
        <v>8</v>
      </c>
      <c r="B232" s="2" t="s">
        <v>332</v>
      </c>
      <c r="C232">
        <v>46</v>
      </c>
      <c r="D232" s="2" t="s">
        <v>380</v>
      </c>
      <c r="E232" s="2" t="s">
        <v>40</v>
      </c>
      <c r="F232" s="2" t="s">
        <v>40</v>
      </c>
      <c r="G232" s="2" t="s">
        <v>38</v>
      </c>
      <c r="H232" s="2" t="s">
        <v>158</v>
      </c>
      <c r="I232" s="2" t="s">
        <v>133</v>
      </c>
      <c r="J232" s="2" t="s">
        <v>334</v>
      </c>
      <c r="K232" t="b">
        <v>0</v>
      </c>
      <c r="L232" s="2" t="s">
        <v>130</v>
      </c>
    </row>
    <row r="233" spans="1:12" hidden="1" x14ac:dyDescent="0.3">
      <c r="A233" s="2" t="s">
        <v>8</v>
      </c>
      <c r="B233" s="2" t="s">
        <v>332</v>
      </c>
      <c r="C233">
        <v>47</v>
      </c>
      <c r="D233" s="2" t="s">
        <v>381</v>
      </c>
      <c r="E233" s="2" t="s">
        <v>41</v>
      </c>
      <c r="F233" s="2" t="s">
        <v>41</v>
      </c>
      <c r="G233" s="2" t="s">
        <v>38</v>
      </c>
      <c r="H233" s="2" t="s">
        <v>158</v>
      </c>
      <c r="I233" s="2" t="s">
        <v>133</v>
      </c>
      <c r="J233" s="2" t="s">
        <v>334</v>
      </c>
      <c r="K233" t="b">
        <v>0</v>
      </c>
      <c r="L233" s="2" t="s">
        <v>130</v>
      </c>
    </row>
    <row r="234" spans="1:12" hidden="1" x14ac:dyDescent="0.3">
      <c r="A234" s="2" t="s">
        <v>8</v>
      </c>
      <c r="B234" s="2" t="s">
        <v>332</v>
      </c>
      <c r="C234">
        <v>48</v>
      </c>
      <c r="D234" s="2" t="s">
        <v>382</v>
      </c>
      <c r="E234" s="2" t="s">
        <v>120</v>
      </c>
      <c r="F234" s="2" t="s">
        <v>120</v>
      </c>
      <c r="G234" s="2" t="s">
        <v>38</v>
      </c>
      <c r="H234" s="2" t="s">
        <v>158</v>
      </c>
      <c r="I234" s="2" t="s">
        <v>133</v>
      </c>
      <c r="J234" s="2" t="s">
        <v>334</v>
      </c>
      <c r="K234" t="b">
        <v>0</v>
      </c>
      <c r="L234" s="2" t="s">
        <v>130</v>
      </c>
    </row>
    <row r="235" spans="1:12" hidden="1" x14ac:dyDescent="0.3">
      <c r="A235" s="2" t="s">
        <v>8</v>
      </c>
      <c r="B235" s="2" t="s">
        <v>332</v>
      </c>
      <c r="C235">
        <v>49</v>
      </c>
      <c r="D235" s="2" t="s">
        <v>383</v>
      </c>
      <c r="E235" s="2" t="s">
        <v>39</v>
      </c>
      <c r="F235" s="2" t="s">
        <v>39</v>
      </c>
      <c r="G235" s="2" t="s">
        <v>38</v>
      </c>
      <c r="H235" s="2" t="s">
        <v>158</v>
      </c>
      <c r="I235" s="2" t="s">
        <v>133</v>
      </c>
      <c r="J235" s="2" t="s">
        <v>334</v>
      </c>
      <c r="K235" t="b">
        <v>0</v>
      </c>
      <c r="L235" s="2" t="s">
        <v>130</v>
      </c>
    </row>
    <row r="236" spans="1:12" hidden="1" x14ac:dyDescent="0.3">
      <c r="A236" s="2" t="s">
        <v>8</v>
      </c>
      <c r="B236" s="2" t="s">
        <v>332</v>
      </c>
      <c r="C236">
        <v>50</v>
      </c>
      <c r="D236" s="2" t="s">
        <v>384</v>
      </c>
      <c r="E236" s="2" t="s">
        <v>123</v>
      </c>
      <c r="F236" s="2" t="s">
        <v>123</v>
      </c>
      <c r="G236" s="2" t="s">
        <v>118</v>
      </c>
      <c r="H236" s="2" t="s">
        <v>274</v>
      </c>
      <c r="I236" s="2" t="s">
        <v>133</v>
      </c>
      <c r="J236" s="2" t="s">
        <v>334</v>
      </c>
      <c r="K236" t="b">
        <v>0</v>
      </c>
      <c r="L236" s="2" t="s">
        <v>130</v>
      </c>
    </row>
    <row r="237" spans="1:12" hidden="1" x14ac:dyDescent="0.3">
      <c r="A237" s="2" t="s">
        <v>8</v>
      </c>
      <c r="B237" s="2" t="s">
        <v>332</v>
      </c>
      <c r="C237">
        <v>51</v>
      </c>
      <c r="D237" s="2" t="s">
        <v>385</v>
      </c>
      <c r="E237" s="2" t="s">
        <v>115</v>
      </c>
      <c r="F237" s="2" t="s">
        <v>115</v>
      </c>
      <c r="G237" s="2" t="s">
        <v>118</v>
      </c>
      <c r="H237" s="2" t="s">
        <v>274</v>
      </c>
      <c r="I237" s="2" t="s">
        <v>133</v>
      </c>
      <c r="J237" s="2" t="s">
        <v>334</v>
      </c>
      <c r="K237" t="b">
        <v>0</v>
      </c>
      <c r="L237" s="2" t="s">
        <v>130</v>
      </c>
    </row>
    <row r="238" spans="1:12" hidden="1" x14ac:dyDescent="0.3">
      <c r="A238" s="2" t="s">
        <v>8</v>
      </c>
      <c r="B238" s="2" t="s">
        <v>332</v>
      </c>
      <c r="C238">
        <v>52</v>
      </c>
      <c r="D238" s="2" t="s">
        <v>386</v>
      </c>
      <c r="E238" s="2" t="s">
        <v>116</v>
      </c>
      <c r="F238" s="2" t="s">
        <v>116</v>
      </c>
      <c r="G238" s="2" t="s">
        <v>118</v>
      </c>
      <c r="H238" s="2" t="s">
        <v>274</v>
      </c>
      <c r="I238" s="2" t="s">
        <v>133</v>
      </c>
      <c r="J238" s="2" t="s">
        <v>334</v>
      </c>
      <c r="K238" t="b">
        <v>0</v>
      </c>
      <c r="L238" s="2" t="s">
        <v>130</v>
      </c>
    </row>
    <row r="239" spans="1:12" hidden="1" x14ac:dyDescent="0.3">
      <c r="A239" s="2" t="s">
        <v>8</v>
      </c>
      <c r="B239" s="2" t="s">
        <v>332</v>
      </c>
      <c r="C239">
        <v>53</v>
      </c>
      <c r="D239" s="2" t="s">
        <v>387</v>
      </c>
      <c r="E239" s="2" t="s">
        <v>117</v>
      </c>
      <c r="F239" s="2" t="s">
        <v>117</v>
      </c>
      <c r="G239" s="2" t="s">
        <v>118</v>
      </c>
      <c r="H239" s="2" t="s">
        <v>274</v>
      </c>
      <c r="I239" s="2" t="s">
        <v>133</v>
      </c>
      <c r="J239" s="2" t="s">
        <v>334</v>
      </c>
      <c r="K239" t="b">
        <v>0</v>
      </c>
      <c r="L239" s="2" t="s">
        <v>130</v>
      </c>
    </row>
    <row r="240" spans="1:12" hidden="1" x14ac:dyDescent="0.3">
      <c r="A240" s="2" t="s">
        <v>8</v>
      </c>
      <c r="B240" s="2" t="s">
        <v>332</v>
      </c>
      <c r="C240">
        <v>54</v>
      </c>
      <c r="D240" s="2" t="s">
        <v>388</v>
      </c>
      <c r="E240" s="2" t="s">
        <v>127</v>
      </c>
      <c r="F240" s="2" t="s">
        <v>127</v>
      </c>
      <c r="G240" s="2" t="s">
        <v>85</v>
      </c>
      <c r="H240" s="2" t="s">
        <v>279</v>
      </c>
      <c r="I240" s="2" t="s">
        <v>133</v>
      </c>
      <c r="J240" s="2" t="s">
        <v>334</v>
      </c>
      <c r="K240" t="b">
        <v>0</v>
      </c>
      <c r="L240" s="2" t="s">
        <v>130</v>
      </c>
    </row>
    <row r="241" spans="1:12" hidden="1" x14ac:dyDescent="0.3">
      <c r="A241" s="2" t="s">
        <v>8</v>
      </c>
      <c r="B241" s="2" t="s">
        <v>332</v>
      </c>
      <c r="C241">
        <v>55</v>
      </c>
      <c r="D241" s="2" t="s">
        <v>389</v>
      </c>
      <c r="E241" s="2" t="s">
        <v>128</v>
      </c>
      <c r="F241" s="2" t="s">
        <v>128</v>
      </c>
      <c r="G241" s="2" t="s">
        <v>85</v>
      </c>
      <c r="H241" s="2" t="s">
        <v>279</v>
      </c>
      <c r="I241" s="2" t="s">
        <v>133</v>
      </c>
      <c r="J241" s="2" t="s">
        <v>334</v>
      </c>
      <c r="K241" t="b">
        <v>0</v>
      </c>
      <c r="L241" s="2" t="s">
        <v>130</v>
      </c>
    </row>
    <row r="242" spans="1:12" hidden="1" x14ac:dyDescent="0.3">
      <c r="A242" s="2" t="s">
        <v>8</v>
      </c>
      <c r="B242" s="2" t="s">
        <v>332</v>
      </c>
      <c r="C242">
        <v>56</v>
      </c>
      <c r="D242" s="2" t="s">
        <v>390</v>
      </c>
      <c r="E242" s="2" t="s">
        <v>125</v>
      </c>
      <c r="F242" s="2" t="s">
        <v>125</v>
      </c>
      <c r="G242" s="2" t="s">
        <v>85</v>
      </c>
      <c r="H242" s="2" t="s">
        <v>279</v>
      </c>
      <c r="I242" s="2" t="s">
        <v>133</v>
      </c>
      <c r="J242" s="2" t="s">
        <v>334</v>
      </c>
      <c r="K242" t="b">
        <v>0</v>
      </c>
      <c r="L242" s="2" t="s">
        <v>130</v>
      </c>
    </row>
    <row r="243" spans="1:12" hidden="1" x14ac:dyDescent="0.3">
      <c r="A243" s="2" t="s">
        <v>8</v>
      </c>
      <c r="B243" s="2" t="s">
        <v>332</v>
      </c>
      <c r="C243">
        <v>57</v>
      </c>
      <c r="D243" s="2" t="s">
        <v>391</v>
      </c>
      <c r="E243" s="2" t="s">
        <v>126</v>
      </c>
      <c r="F243" s="2" t="s">
        <v>126</v>
      </c>
      <c r="G243" s="2" t="s">
        <v>85</v>
      </c>
      <c r="H243" s="2" t="s">
        <v>279</v>
      </c>
      <c r="I243" s="2" t="s">
        <v>133</v>
      </c>
      <c r="J243" s="2" t="s">
        <v>334</v>
      </c>
      <c r="K243" t="b">
        <v>0</v>
      </c>
      <c r="L243" s="2" t="s">
        <v>130</v>
      </c>
    </row>
    <row r="244" spans="1:12" hidden="1" x14ac:dyDescent="0.3">
      <c r="A244" s="2" t="s">
        <v>8</v>
      </c>
      <c r="B244" s="2" t="s">
        <v>332</v>
      </c>
      <c r="C244">
        <v>58</v>
      </c>
      <c r="D244" s="2" t="s">
        <v>392</v>
      </c>
      <c r="E244" s="2" t="s">
        <v>129</v>
      </c>
      <c r="F244" s="2" t="s">
        <v>129</v>
      </c>
      <c r="G244" s="2" t="s">
        <v>85</v>
      </c>
      <c r="H244" s="2" t="s">
        <v>279</v>
      </c>
      <c r="I244" s="2" t="s">
        <v>133</v>
      </c>
      <c r="J244" s="2" t="s">
        <v>334</v>
      </c>
      <c r="K244" t="b">
        <v>0</v>
      </c>
      <c r="L244" s="2" t="s">
        <v>130</v>
      </c>
    </row>
    <row r="245" spans="1:12" hidden="1" x14ac:dyDescent="0.3">
      <c r="A245" s="2" t="s">
        <v>8</v>
      </c>
      <c r="B245" s="2" t="s">
        <v>332</v>
      </c>
      <c r="C245">
        <v>59</v>
      </c>
      <c r="D245" s="2" t="s">
        <v>393</v>
      </c>
      <c r="E245" s="2" t="s">
        <v>94</v>
      </c>
      <c r="F245" s="2" t="s">
        <v>94</v>
      </c>
      <c r="G245" s="2" t="s">
        <v>108</v>
      </c>
      <c r="H245" s="2" t="s">
        <v>289</v>
      </c>
      <c r="I245" s="2" t="s">
        <v>133</v>
      </c>
      <c r="J245" s="2" t="s">
        <v>334</v>
      </c>
      <c r="K245" t="b">
        <v>0</v>
      </c>
      <c r="L245" s="2" t="s">
        <v>130</v>
      </c>
    </row>
    <row r="246" spans="1:12" hidden="1" x14ac:dyDescent="0.3">
      <c r="A246" s="2" t="s">
        <v>8</v>
      </c>
      <c r="B246" s="2" t="s">
        <v>332</v>
      </c>
      <c r="C246">
        <v>60</v>
      </c>
      <c r="D246" s="2" t="s">
        <v>394</v>
      </c>
      <c r="E246" s="2" t="s">
        <v>95</v>
      </c>
      <c r="F246" s="2" t="s">
        <v>95</v>
      </c>
      <c r="G246" s="2" t="s">
        <v>108</v>
      </c>
      <c r="H246" s="2" t="s">
        <v>289</v>
      </c>
      <c r="I246" s="2" t="s">
        <v>133</v>
      </c>
      <c r="J246" s="2" t="s">
        <v>334</v>
      </c>
      <c r="K246" t="b">
        <v>0</v>
      </c>
      <c r="L246" s="2" t="s">
        <v>130</v>
      </c>
    </row>
    <row r="247" spans="1:12" hidden="1" x14ac:dyDescent="0.3">
      <c r="A247" s="2" t="s">
        <v>8</v>
      </c>
      <c r="B247" s="2" t="s">
        <v>332</v>
      </c>
      <c r="C247">
        <v>61</v>
      </c>
      <c r="D247" s="2" t="s">
        <v>395</v>
      </c>
      <c r="E247" s="2" t="s">
        <v>96</v>
      </c>
      <c r="F247" s="2" t="s">
        <v>96</v>
      </c>
      <c r="G247" s="2" t="s">
        <v>108</v>
      </c>
      <c r="H247" s="2" t="s">
        <v>289</v>
      </c>
      <c r="I247" s="2" t="s">
        <v>133</v>
      </c>
      <c r="J247" s="2" t="s">
        <v>334</v>
      </c>
      <c r="K247" t="b">
        <v>0</v>
      </c>
      <c r="L247" s="2" t="s">
        <v>130</v>
      </c>
    </row>
    <row r="248" spans="1:12" hidden="1" x14ac:dyDescent="0.3">
      <c r="A248" s="2" t="s">
        <v>8</v>
      </c>
      <c r="B248" s="2" t="s">
        <v>332</v>
      </c>
      <c r="C248">
        <v>62</v>
      </c>
      <c r="D248" s="2" t="s">
        <v>396</v>
      </c>
      <c r="E248" s="2" t="s">
        <v>86</v>
      </c>
      <c r="F248" s="2" t="s">
        <v>86</v>
      </c>
      <c r="G248" s="2" t="s">
        <v>108</v>
      </c>
      <c r="H248" s="2" t="s">
        <v>289</v>
      </c>
      <c r="I248" s="2" t="s">
        <v>133</v>
      </c>
      <c r="J248" s="2" t="s">
        <v>334</v>
      </c>
      <c r="K248" t="b">
        <v>0</v>
      </c>
      <c r="L248" s="2" t="s">
        <v>130</v>
      </c>
    </row>
    <row r="249" spans="1:12" hidden="1" x14ac:dyDescent="0.3">
      <c r="A249" s="2" t="s">
        <v>8</v>
      </c>
      <c r="B249" s="2" t="s">
        <v>332</v>
      </c>
      <c r="C249">
        <v>63</v>
      </c>
      <c r="D249" s="2" t="s">
        <v>397</v>
      </c>
      <c r="E249" s="2" t="s">
        <v>87</v>
      </c>
      <c r="F249" s="2" t="s">
        <v>87</v>
      </c>
      <c r="G249" s="2" t="s">
        <v>108</v>
      </c>
      <c r="H249" s="2" t="s">
        <v>289</v>
      </c>
      <c r="I249" s="2" t="s">
        <v>133</v>
      </c>
      <c r="J249" s="2" t="s">
        <v>334</v>
      </c>
      <c r="K249" t="b">
        <v>0</v>
      </c>
      <c r="L249" s="2" t="s">
        <v>130</v>
      </c>
    </row>
    <row r="250" spans="1:12" hidden="1" x14ac:dyDescent="0.3">
      <c r="A250" s="2" t="s">
        <v>8</v>
      </c>
      <c r="B250" s="2" t="s">
        <v>332</v>
      </c>
      <c r="C250">
        <v>64</v>
      </c>
      <c r="D250" s="2" t="s">
        <v>398</v>
      </c>
      <c r="E250" s="2" t="s">
        <v>97</v>
      </c>
      <c r="F250" s="2" t="s">
        <v>97</v>
      </c>
      <c r="G250" s="2" t="s">
        <v>108</v>
      </c>
      <c r="H250" s="2" t="s">
        <v>289</v>
      </c>
      <c r="I250" s="2" t="s">
        <v>133</v>
      </c>
      <c r="J250" s="2" t="s">
        <v>334</v>
      </c>
      <c r="K250" t="b">
        <v>0</v>
      </c>
      <c r="L250" s="2" t="s">
        <v>130</v>
      </c>
    </row>
    <row r="251" spans="1:12" hidden="1" x14ac:dyDescent="0.3">
      <c r="A251" s="2" t="s">
        <v>8</v>
      </c>
      <c r="B251" s="2" t="s">
        <v>332</v>
      </c>
      <c r="C251">
        <v>65</v>
      </c>
      <c r="D251" s="2" t="s">
        <v>399</v>
      </c>
      <c r="E251" s="2" t="s">
        <v>98</v>
      </c>
      <c r="F251" s="2" t="s">
        <v>98</v>
      </c>
      <c r="G251" s="2" t="s">
        <v>108</v>
      </c>
      <c r="H251" s="2" t="s">
        <v>289</v>
      </c>
      <c r="I251" s="2" t="s">
        <v>133</v>
      </c>
      <c r="J251" s="2" t="s">
        <v>334</v>
      </c>
      <c r="K251" t="b">
        <v>0</v>
      </c>
      <c r="L251" s="2" t="s">
        <v>130</v>
      </c>
    </row>
    <row r="252" spans="1:12" hidden="1" x14ac:dyDescent="0.3">
      <c r="A252" s="2" t="s">
        <v>8</v>
      </c>
      <c r="B252" s="2" t="s">
        <v>332</v>
      </c>
      <c r="C252">
        <v>66</v>
      </c>
      <c r="D252" s="2" t="s">
        <v>400</v>
      </c>
      <c r="E252" s="2" t="s">
        <v>88</v>
      </c>
      <c r="F252" s="2" t="s">
        <v>88</v>
      </c>
      <c r="G252" s="2" t="s">
        <v>108</v>
      </c>
      <c r="H252" s="2" t="s">
        <v>289</v>
      </c>
      <c r="I252" s="2" t="s">
        <v>133</v>
      </c>
      <c r="J252" s="2" t="s">
        <v>334</v>
      </c>
      <c r="K252" t="b">
        <v>0</v>
      </c>
      <c r="L252" s="2" t="s">
        <v>130</v>
      </c>
    </row>
    <row r="253" spans="1:12" hidden="1" x14ac:dyDescent="0.3">
      <c r="A253" s="2" t="s">
        <v>8</v>
      </c>
      <c r="B253" s="2" t="s">
        <v>332</v>
      </c>
      <c r="C253">
        <v>67</v>
      </c>
      <c r="D253" s="2" t="s">
        <v>401</v>
      </c>
      <c r="E253" s="2" t="s">
        <v>89</v>
      </c>
      <c r="F253" s="2" t="s">
        <v>89</v>
      </c>
      <c r="G253" s="2" t="s">
        <v>108</v>
      </c>
      <c r="H253" s="2" t="s">
        <v>289</v>
      </c>
      <c r="I253" s="2" t="s">
        <v>133</v>
      </c>
      <c r="J253" s="2" t="s">
        <v>334</v>
      </c>
      <c r="K253" t="b">
        <v>0</v>
      </c>
      <c r="L253" s="2" t="s">
        <v>130</v>
      </c>
    </row>
    <row r="254" spans="1:12" hidden="1" x14ac:dyDescent="0.3">
      <c r="A254" s="2" t="s">
        <v>8</v>
      </c>
      <c r="B254" s="2" t="s">
        <v>332</v>
      </c>
      <c r="C254">
        <v>68</v>
      </c>
      <c r="D254" s="2" t="s">
        <v>402</v>
      </c>
      <c r="E254" s="2" t="s">
        <v>89</v>
      </c>
      <c r="F254" s="2" t="s">
        <v>89</v>
      </c>
      <c r="G254" s="2" t="s">
        <v>108</v>
      </c>
      <c r="H254" s="2" t="s">
        <v>289</v>
      </c>
      <c r="I254" s="2" t="s">
        <v>133</v>
      </c>
      <c r="J254" s="2" t="s">
        <v>334</v>
      </c>
      <c r="K254" t="b">
        <v>0</v>
      </c>
      <c r="L254" s="2" t="s">
        <v>130</v>
      </c>
    </row>
    <row r="255" spans="1:12" hidden="1" x14ac:dyDescent="0.3">
      <c r="A255" s="2" t="s">
        <v>8</v>
      </c>
      <c r="B255" s="2" t="s">
        <v>332</v>
      </c>
      <c r="C255">
        <v>69</v>
      </c>
      <c r="D255" s="2" t="s">
        <v>403</v>
      </c>
      <c r="E255" s="2" t="s">
        <v>100</v>
      </c>
      <c r="F255" s="2" t="s">
        <v>100</v>
      </c>
      <c r="G255" s="2" t="s">
        <v>108</v>
      </c>
      <c r="H255" s="2" t="s">
        <v>289</v>
      </c>
      <c r="I255" s="2" t="s">
        <v>133</v>
      </c>
      <c r="J255" s="2" t="s">
        <v>334</v>
      </c>
      <c r="K255" t="b">
        <v>0</v>
      </c>
      <c r="L255" s="2" t="s">
        <v>130</v>
      </c>
    </row>
    <row r="256" spans="1:12" hidden="1" x14ac:dyDescent="0.3">
      <c r="A256" s="2" t="s">
        <v>8</v>
      </c>
      <c r="B256" s="2" t="s">
        <v>332</v>
      </c>
      <c r="C256">
        <v>70</v>
      </c>
      <c r="D256" s="2" t="s">
        <v>404</v>
      </c>
      <c r="E256" s="2" t="s">
        <v>99</v>
      </c>
      <c r="F256" s="2" t="s">
        <v>99</v>
      </c>
      <c r="G256" s="2" t="s">
        <v>108</v>
      </c>
      <c r="H256" s="2" t="s">
        <v>289</v>
      </c>
      <c r="I256" s="2" t="s">
        <v>133</v>
      </c>
      <c r="J256" s="2" t="s">
        <v>334</v>
      </c>
      <c r="K256" t="b">
        <v>0</v>
      </c>
      <c r="L256" s="2" t="s">
        <v>130</v>
      </c>
    </row>
    <row r="257" spans="1:12" hidden="1" x14ac:dyDescent="0.3">
      <c r="A257" s="2" t="s">
        <v>8</v>
      </c>
      <c r="B257" s="2" t="s">
        <v>332</v>
      </c>
      <c r="C257">
        <v>71</v>
      </c>
      <c r="D257" s="2" t="s">
        <v>405</v>
      </c>
      <c r="E257" s="2" t="s">
        <v>90</v>
      </c>
      <c r="F257" s="2" t="s">
        <v>90</v>
      </c>
      <c r="G257" s="2" t="s">
        <v>108</v>
      </c>
      <c r="H257" s="2" t="s">
        <v>289</v>
      </c>
      <c r="I257" s="2" t="s">
        <v>133</v>
      </c>
      <c r="J257" s="2" t="s">
        <v>334</v>
      </c>
      <c r="K257" t="b">
        <v>0</v>
      </c>
      <c r="L257" s="2" t="s">
        <v>130</v>
      </c>
    </row>
    <row r="258" spans="1:12" hidden="1" x14ac:dyDescent="0.3">
      <c r="A258" s="2" t="s">
        <v>8</v>
      </c>
      <c r="B258" s="2" t="s">
        <v>332</v>
      </c>
      <c r="C258">
        <v>72</v>
      </c>
      <c r="D258" s="2" t="s">
        <v>406</v>
      </c>
      <c r="E258" s="2" t="s">
        <v>101</v>
      </c>
      <c r="F258" s="2" t="s">
        <v>101</v>
      </c>
      <c r="G258" s="2" t="s">
        <v>108</v>
      </c>
      <c r="H258" s="2" t="s">
        <v>289</v>
      </c>
      <c r="I258" s="2" t="s">
        <v>133</v>
      </c>
      <c r="J258" s="2" t="s">
        <v>334</v>
      </c>
      <c r="K258" t="b">
        <v>0</v>
      </c>
      <c r="L258" s="2" t="s">
        <v>130</v>
      </c>
    </row>
    <row r="259" spans="1:12" hidden="1" x14ac:dyDescent="0.3">
      <c r="A259" s="2" t="s">
        <v>8</v>
      </c>
      <c r="B259" s="2" t="s">
        <v>332</v>
      </c>
      <c r="C259">
        <v>73</v>
      </c>
      <c r="D259" s="2" t="s">
        <v>407</v>
      </c>
      <c r="E259" s="2" t="s">
        <v>102</v>
      </c>
      <c r="F259" s="2" t="s">
        <v>102</v>
      </c>
      <c r="G259" s="2" t="s">
        <v>108</v>
      </c>
      <c r="H259" s="2" t="s">
        <v>289</v>
      </c>
      <c r="I259" s="2" t="s">
        <v>133</v>
      </c>
      <c r="J259" s="2" t="s">
        <v>334</v>
      </c>
      <c r="K259" t="b">
        <v>0</v>
      </c>
      <c r="L259" s="2" t="s">
        <v>130</v>
      </c>
    </row>
    <row r="260" spans="1:12" hidden="1" x14ac:dyDescent="0.3">
      <c r="A260" s="2" t="s">
        <v>8</v>
      </c>
      <c r="B260" s="2" t="s">
        <v>332</v>
      </c>
      <c r="C260">
        <v>74</v>
      </c>
      <c r="D260" s="2" t="s">
        <v>408</v>
      </c>
      <c r="E260" s="2" t="s">
        <v>103</v>
      </c>
      <c r="F260" s="2" t="s">
        <v>103</v>
      </c>
      <c r="G260" s="2" t="s">
        <v>108</v>
      </c>
      <c r="H260" s="2" t="s">
        <v>289</v>
      </c>
      <c r="I260" s="2" t="s">
        <v>133</v>
      </c>
      <c r="J260" s="2" t="s">
        <v>334</v>
      </c>
      <c r="K260" t="b">
        <v>0</v>
      </c>
      <c r="L260" s="2" t="s">
        <v>130</v>
      </c>
    </row>
    <row r="261" spans="1:12" hidden="1" x14ac:dyDescent="0.3">
      <c r="A261" s="2" t="s">
        <v>8</v>
      </c>
      <c r="B261" s="2" t="s">
        <v>332</v>
      </c>
      <c r="C261">
        <v>75</v>
      </c>
      <c r="D261" s="2" t="s">
        <v>409</v>
      </c>
      <c r="E261" s="2" t="s">
        <v>104</v>
      </c>
      <c r="F261" s="2" t="s">
        <v>104</v>
      </c>
      <c r="G261" s="2" t="s">
        <v>108</v>
      </c>
      <c r="H261" s="2" t="s">
        <v>289</v>
      </c>
      <c r="I261" s="2" t="s">
        <v>133</v>
      </c>
      <c r="J261" s="2" t="s">
        <v>334</v>
      </c>
      <c r="K261" t="b">
        <v>0</v>
      </c>
      <c r="L261" s="2" t="s">
        <v>130</v>
      </c>
    </row>
    <row r="262" spans="1:12" hidden="1" x14ac:dyDescent="0.3">
      <c r="A262" s="2" t="s">
        <v>8</v>
      </c>
      <c r="B262" s="2" t="s">
        <v>332</v>
      </c>
      <c r="C262">
        <v>76</v>
      </c>
      <c r="D262" s="2" t="s">
        <v>410</v>
      </c>
      <c r="E262" s="2" t="s">
        <v>105</v>
      </c>
      <c r="F262" s="2" t="s">
        <v>105</v>
      </c>
      <c r="G262" s="2" t="s">
        <v>108</v>
      </c>
      <c r="H262" s="2" t="s">
        <v>289</v>
      </c>
      <c r="I262" s="2" t="s">
        <v>133</v>
      </c>
      <c r="J262" s="2" t="s">
        <v>334</v>
      </c>
      <c r="K262" t="b">
        <v>0</v>
      </c>
      <c r="L262" s="2" t="s">
        <v>130</v>
      </c>
    </row>
    <row r="263" spans="1:12" hidden="1" x14ac:dyDescent="0.3">
      <c r="A263" s="2" t="s">
        <v>8</v>
      </c>
      <c r="B263" s="2" t="s">
        <v>332</v>
      </c>
      <c r="C263">
        <v>77</v>
      </c>
      <c r="D263" s="2" t="s">
        <v>411</v>
      </c>
      <c r="E263" s="2" t="s">
        <v>91</v>
      </c>
      <c r="F263" s="2" t="s">
        <v>91</v>
      </c>
      <c r="G263" s="2" t="s">
        <v>108</v>
      </c>
      <c r="H263" s="2" t="s">
        <v>289</v>
      </c>
      <c r="I263" s="2" t="s">
        <v>133</v>
      </c>
      <c r="J263" s="2" t="s">
        <v>334</v>
      </c>
      <c r="K263" t="b">
        <v>0</v>
      </c>
      <c r="L263" s="2" t="s">
        <v>130</v>
      </c>
    </row>
    <row r="264" spans="1:12" hidden="1" x14ac:dyDescent="0.3">
      <c r="A264" s="2" t="s">
        <v>8</v>
      </c>
      <c r="B264" s="2" t="s">
        <v>332</v>
      </c>
      <c r="C264">
        <v>78</v>
      </c>
      <c r="D264" s="2" t="s">
        <v>412</v>
      </c>
      <c r="E264" s="2" t="s">
        <v>91</v>
      </c>
      <c r="F264" s="2" t="s">
        <v>91</v>
      </c>
      <c r="G264" s="2" t="s">
        <v>108</v>
      </c>
      <c r="H264" s="2" t="s">
        <v>289</v>
      </c>
      <c r="I264" s="2" t="s">
        <v>133</v>
      </c>
      <c r="J264" s="2" t="s">
        <v>334</v>
      </c>
      <c r="K264" t="b">
        <v>0</v>
      </c>
      <c r="L264" s="2" t="s">
        <v>130</v>
      </c>
    </row>
    <row r="265" spans="1:12" hidden="1" x14ac:dyDescent="0.3">
      <c r="A265" s="2" t="s">
        <v>8</v>
      </c>
      <c r="B265" s="2" t="s">
        <v>332</v>
      </c>
      <c r="C265">
        <v>79</v>
      </c>
      <c r="D265" s="2" t="s">
        <v>413</v>
      </c>
      <c r="E265" s="2" t="s">
        <v>92</v>
      </c>
      <c r="F265" s="2" t="s">
        <v>92</v>
      </c>
      <c r="G265" s="2" t="s">
        <v>108</v>
      </c>
      <c r="H265" s="2" t="s">
        <v>289</v>
      </c>
      <c r="I265" s="2" t="s">
        <v>133</v>
      </c>
      <c r="J265" s="2" t="s">
        <v>334</v>
      </c>
      <c r="K265" t="b">
        <v>0</v>
      </c>
      <c r="L265" s="2" t="s">
        <v>130</v>
      </c>
    </row>
    <row r="266" spans="1:12" hidden="1" x14ac:dyDescent="0.3">
      <c r="A266" s="2" t="s">
        <v>8</v>
      </c>
      <c r="B266" s="2" t="s">
        <v>332</v>
      </c>
      <c r="C266">
        <v>80</v>
      </c>
      <c r="D266" s="2" t="s">
        <v>414</v>
      </c>
      <c r="E266" s="2" t="s">
        <v>93</v>
      </c>
      <c r="F266" s="2" t="s">
        <v>93</v>
      </c>
      <c r="G266" s="2" t="s">
        <v>108</v>
      </c>
      <c r="H266" s="2" t="s">
        <v>289</v>
      </c>
      <c r="I266" s="2" t="s">
        <v>133</v>
      </c>
      <c r="J266" s="2" t="s">
        <v>334</v>
      </c>
      <c r="K266" t="b">
        <v>0</v>
      </c>
      <c r="L266" s="2" t="s">
        <v>130</v>
      </c>
    </row>
    <row r="267" spans="1:12" hidden="1" x14ac:dyDescent="0.3">
      <c r="A267" s="2" t="s">
        <v>8</v>
      </c>
      <c r="B267" s="2" t="s">
        <v>332</v>
      </c>
      <c r="C267">
        <v>81</v>
      </c>
      <c r="D267" s="2" t="s">
        <v>415</v>
      </c>
      <c r="E267" s="2" t="s">
        <v>106</v>
      </c>
      <c r="F267" s="2" t="s">
        <v>106</v>
      </c>
      <c r="G267" s="2" t="s">
        <v>108</v>
      </c>
      <c r="H267" s="2" t="s">
        <v>289</v>
      </c>
      <c r="I267" s="2" t="s">
        <v>133</v>
      </c>
      <c r="J267" s="2" t="s">
        <v>334</v>
      </c>
      <c r="K267" t="b">
        <v>0</v>
      </c>
      <c r="L267" s="2" t="s">
        <v>130</v>
      </c>
    </row>
    <row r="268" spans="1:12" hidden="1" x14ac:dyDescent="0.3">
      <c r="A268" s="2" t="s">
        <v>8</v>
      </c>
      <c r="B268" s="2" t="s">
        <v>332</v>
      </c>
      <c r="C268">
        <v>82</v>
      </c>
      <c r="D268" s="2" t="s">
        <v>416</v>
      </c>
      <c r="E268" s="2" t="s">
        <v>107</v>
      </c>
      <c r="F268" s="2" t="s">
        <v>107</v>
      </c>
      <c r="G268" s="2" t="s">
        <v>108</v>
      </c>
      <c r="H268" s="2" t="s">
        <v>289</v>
      </c>
      <c r="I268" s="2" t="s">
        <v>133</v>
      </c>
      <c r="J268" s="2" t="s">
        <v>334</v>
      </c>
      <c r="K268" t="b">
        <v>0</v>
      </c>
      <c r="L268" s="2" t="s">
        <v>130</v>
      </c>
    </row>
    <row r="269" spans="1:12" hidden="1" x14ac:dyDescent="0.3">
      <c r="A269" s="2" t="s">
        <v>8</v>
      </c>
      <c r="B269" s="2" t="s">
        <v>332</v>
      </c>
      <c r="C269">
        <v>83</v>
      </c>
      <c r="D269" s="2" t="s">
        <v>417</v>
      </c>
      <c r="E269" s="2" t="s">
        <v>73</v>
      </c>
      <c r="F269" s="2" t="s">
        <v>73</v>
      </c>
      <c r="G269" s="2" t="s">
        <v>74</v>
      </c>
      <c r="H269" s="2" t="s">
        <v>320</v>
      </c>
      <c r="I269" s="2" t="s">
        <v>133</v>
      </c>
      <c r="J269" s="2" t="s">
        <v>334</v>
      </c>
      <c r="K269" t="b">
        <v>0</v>
      </c>
      <c r="L269" s="2" t="s">
        <v>130</v>
      </c>
    </row>
    <row r="270" spans="1:12" hidden="1" x14ac:dyDescent="0.3">
      <c r="A270" s="2" t="s">
        <v>8</v>
      </c>
      <c r="B270" s="2" t="s">
        <v>332</v>
      </c>
      <c r="C270">
        <v>84</v>
      </c>
      <c r="D270" s="2" t="s">
        <v>418</v>
      </c>
      <c r="E270" s="2" t="s">
        <v>75</v>
      </c>
      <c r="F270" s="2" t="s">
        <v>75</v>
      </c>
      <c r="G270" s="2" t="s">
        <v>74</v>
      </c>
      <c r="H270" s="2" t="s">
        <v>320</v>
      </c>
      <c r="I270" s="2" t="s">
        <v>133</v>
      </c>
      <c r="J270" s="2" t="s">
        <v>334</v>
      </c>
      <c r="K270" t="b">
        <v>0</v>
      </c>
      <c r="L270" s="2" t="s">
        <v>130</v>
      </c>
    </row>
    <row r="271" spans="1:12" hidden="1" x14ac:dyDescent="0.3">
      <c r="A271" s="2" t="s">
        <v>8</v>
      </c>
      <c r="B271" s="2" t="s">
        <v>332</v>
      </c>
      <c r="C271">
        <v>85</v>
      </c>
      <c r="D271" s="2" t="s">
        <v>419</v>
      </c>
      <c r="E271" s="2" t="s">
        <v>76</v>
      </c>
      <c r="F271" s="2" t="s">
        <v>76</v>
      </c>
      <c r="G271" s="2" t="s">
        <v>74</v>
      </c>
      <c r="H271" s="2" t="s">
        <v>320</v>
      </c>
      <c r="I271" s="2" t="s">
        <v>133</v>
      </c>
      <c r="J271" s="2" t="s">
        <v>334</v>
      </c>
      <c r="K271" t="b">
        <v>0</v>
      </c>
      <c r="L271" s="2" t="s">
        <v>130</v>
      </c>
    </row>
    <row r="272" spans="1:12" hidden="1" x14ac:dyDescent="0.3">
      <c r="A272" s="2" t="s">
        <v>8</v>
      </c>
      <c r="B272" s="2" t="s">
        <v>332</v>
      </c>
      <c r="C272">
        <v>86</v>
      </c>
      <c r="D272" s="2" t="s">
        <v>420</v>
      </c>
      <c r="E272" s="2" t="s">
        <v>78</v>
      </c>
      <c r="F272" s="2" t="s">
        <v>78</v>
      </c>
      <c r="G272" s="2" t="s">
        <v>80</v>
      </c>
      <c r="H272" s="2" t="s">
        <v>324</v>
      </c>
      <c r="I272" s="2" t="s">
        <v>133</v>
      </c>
      <c r="J272" s="2" t="s">
        <v>334</v>
      </c>
      <c r="K272" t="b">
        <v>0</v>
      </c>
      <c r="L272" s="2" t="s">
        <v>130</v>
      </c>
    </row>
    <row r="273" spans="1:12" hidden="1" x14ac:dyDescent="0.3">
      <c r="A273" s="2" t="s">
        <v>8</v>
      </c>
      <c r="B273" s="2" t="s">
        <v>332</v>
      </c>
      <c r="C273">
        <v>87</v>
      </c>
      <c r="D273" s="2" t="s">
        <v>421</v>
      </c>
      <c r="E273" s="2" t="s">
        <v>79</v>
      </c>
      <c r="F273" s="2" t="s">
        <v>79</v>
      </c>
      <c r="G273" s="2" t="s">
        <v>80</v>
      </c>
      <c r="H273" s="2" t="s">
        <v>324</v>
      </c>
      <c r="I273" s="2" t="s">
        <v>133</v>
      </c>
      <c r="J273" s="2" t="s">
        <v>334</v>
      </c>
      <c r="K273" t="b">
        <v>0</v>
      </c>
      <c r="L273" s="2" t="s">
        <v>130</v>
      </c>
    </row>
    <row r="274" spans="1:12" hidden="1" x14ac:dyDescent="0.3">
      <c r="A274" s="2" t="s">
        <v>8</v>
      </c>
      <c r="B274" s="2" t="s">
        <v>332</v>
      </c>
      <c r="C274">
        <v>88</v>
      </c>
      <c r="D274" s="2" t="s">
        <v>422</v>
      </c>
      <c r="E274" s="2" t="s">
        <v>11</v>
      </c>
      <c r="F274" s="2" t="s">
        <v>11</v>
      </c>
      <c r="G274" s="2" t="s">
        <v>80</v>
      </c>
      <c r="H274" s="2" t="s">
        <v>324</v>
      </c>
      <c r="I274" s="2" t="s">
        <v>133</v>
      </c>
      <c r="J274" s="2" t="s">
        <v>334</v>
      </c>
      <c r="K274" t="b">
        <v>0</v>
      </c>
      <c r="L274" s="2" t="s">
        <v>130</v>
      </c>
    </row>
    <row r="275" spans="1:12" hidden="1" x14ac:dyDescent="0.3">
      <c r="A275" s="2" t="s">
        <v>8</v>
      </c>
      <c r="B275" s="2" t="s">
        <v>332</v>
      </c>
      <c r="C275">
        <v>89</v>
      </c>
      <c r="D275" s="2" t="s">
        <v>423</v>
      </c>
      <c r="E275" s="2" t="s">
        <v>25</v>
      </c>
      <c r="F275" s="2" t="s">
        <v>25</v>
      </c>
      <c r="G275" s="2" t="s">
        <v>80</v>
      </c>
      <c r="H275" s="2" t="s">
        <v>324</v>
      </c>
      <c r="I275" s="2" t="s">
        <v>133</v>
      </c>
      <c r="J275" s="2" t="s">
        <v>334</v>
      </c>
      <c r="K275" t="b">
        <v>0</v>
      </c>
      <c r="L275" s="2" t="s">
        <v>130</v>
      </c>
    </row>
    <row r="276" spans="1:12" hidden="1" x14ac:dyDescent="0.3">
      <c r="A276" s="2" t="s">
        <v>8</v>
      </c>
      <c r="B276" s="2" t="s">
        <v>332</v>
      </c>
      <c r="C276">
        <v>90</v>
      </c>
      <c r="D276" s="2" t="s">
        <v>424</v>
      </c>
      <c r="E276" s="2" t="s">
        <v>26</v>
      </c>
      <c r="F276" s="2" t="s">
        <v>26</v>
      </c>
      <c r="G276" s="2" t="s">
        <v>80</v>
      </c>
      <c r="H276" s="2" t="s">
        <v>324</v>
      </c>
      <c r="I276" s="2" t="s">
        <v>133</v>
      </c>
      <c r="J276" s="2" t="s">
        <v>334</v>
      </c>
      <c r="K276" t="b">
        <v>0</v>
      </c>
      <c r="L276" s="2" t="s">
        <v>130</v>
      </c>
    </row>
    <row r="277" spans="1:12" hidden="1" x14ac:dyDescent="0.3">
      <c r="A277" s="2" t="s">
        <v>8</v>
      </c>
      <c r="B277" s="2" t="s">
        <v>332</v>
      </c>
      <c r="C277">
        <v>91</v>
      </c>
      <c r="D277" s="2" t="s">
        <v>425</v>
      </c>
      <c r="E277" s="2" t="s">
        <v>27</v>
      </c>
      <c r="F277" s="2" t="s">
        <v>27</v>
      </c>
      <c r="G277" s="2" t="s">
        <v>80</v>
      </c>
      <c r="H277" s="2" t="s">
        <v>324</v>
      </c>
      <c r="I277" s="2" t="s">
        <v>133</v>
      </c>
      <c r="J277" s="2" t="s">
        <v>334</v>
      </c>
      <c r="K277" t="b">
        <v>0</v>
      </c>
      <c r="L277" s="2" t="s">
        <v>130</v>
      </c>
    </row>
    <row r="278" spans="1:12" hidden="1" x14ac:dyDescent="0.3">
      <c r="A278" s="2" t="s">
        <v>8</v>
      </c>
      <c r="B278" s="2" t="s">
        <v>332</v>
      </c>
      <c r="C278">
        <v>92</v>
      </c>
      <c r="D278" s="2" t="s">
        <v>426</v>
      </c>
      <c r="E278" s="2" t="s">
        <v>47</v>
      </c>
      <c r="F278" s="2" t="s">
        <v>47</v>
      </c>
      <c r="G278" s="2" t="s">
        <v>80</v>
      </c>
      <c r="H278" s="2" t="s">
        <v>324</v>
      </c>
      <c r="I278" s="2" t="s">
        <v>133</v>
      </c>
      <c r="J278" s="2" t="s">
        <v>334</v>
      </c>
      <c r="K278" t="b">
        <v>0</v>
      </c>
      <c r="L278" s="2" t="s">
        <v>130</v>
      </c>
    </row>
    <row r="279" spans="1:12" hidden="1" x14ac:dyDescent="0.3">
      <c r="A279" s="2" t="s">
        <v>8</v>
      </c>
      <c r="B279" s="2" t="s">
        <v>332</v>
      </c>
      <c r="C279">
        <v>93</v>
      </c>
      <c r="D279" s="2" t="s">
        <v>427</v>
      </c>
      <c r="E279" s="2" t="s">
        <v>122</v>
      </c>
      <c r="F279" s="2" t="s">
        <v>122</v>
      </c>
      <c r="G279" s="2" t="s">
        <v>80</v>
      </c>
      <c r="H279" s="2" t="s">
        <v>324</v>
      </c>
      <c r="I279" s="2" t="s">
        <v>133</v>
      </c>
      <c r="J279" s="2" t="s">
        <v>334</v>
      </c>
      <c r="K279" t="b">
        <v>0</v>
      </c>
      <c r="L279" s="2" t="s">
        <v>130</v>
      </c>
    </row>
    <row r="280" spans="1:12" hidden="1" x14ac:dyDescent="0.3">
      <c r="A280" s="2" t="s">
        <v>8</v>
      </c>
      <c r="B280" s="2" t="s">
        <v>332</v>
      </c>
      <c r="C280">
        <v>94</v>
      </c>
      <c r="D280" s="2" t="s">
        <v>428</v>
      </c>
      <c r="E280" s="2" t="s">
        <v>24</v>
      </c>
      <c r="F280" s="2" t="s">
        <v>24</v>
      </c>
      <c r="G280" s="2" t="s">
        <v>80</v>
      </c>
      <c r="H280" s="2" t="s">
        <v>324</v>
      </c>
      <c r="I280" s="2" t="s">
        <v>133</v>
      </c>
      <c r="J280" s="2" t="s">
        <v>334</v>
      </c>
      <c r="K280" t="b">
        <v>0</v>
      </c>
      <c r="L280" s="2" t="s">
        <v>130</v>
      </c>
    </row>
    <row r="281" spans="1:12" hidden="1" x14ac:dyDescent="0.3">
      <c r="A281" s="2" t="s">
        <v>8</v>
      </c>
      <c r="B281" s="2"/>
      <c r="D281" s="2" t="s">
        <v>429</v>
      </c>
      <c r="E281" s="2"/>
      <c r="F281" s="2" t="s">
        <v>430</v>
      </c>
      <c r="G281" s="2"/>
      <c r="H281" s="2"/>
      <c r="I281" s="2" t="s">
        <v>133</v>
      </c>
      <c r="J281" s="2"/>
      <c r="K281" t="b">
        <v>0</v>
      </c>
      <c r="L281" s="2" t="s">
        <v>130</v>
      </c>
    </row>
    <row r="282" spans="1:12" hidden="1" x14ac:dyDescent="0.3">
      <c r="A282" s="2" t="s">
        <v>8</v>
      </c>
      <c r="B282" s="2"/>
      <c r="D282" s="2" t="s">
        <v>429</v>
      </c>
      <c r="E282" s="2"/>
      <c r="F282" s="2" t="s">
        <v>430</v>
      </c>
      <c r="G282" s="2"/>
      <c r="H282" s="2"/>
      <c r="I282" s="2" t="s">
        <v>133</v>
      </c>
      <c r="J282" s="2"/>
      <c r="K282" t="b">
        <v>0</v>
      </c>
      <c r="L282" s="2" t="s">
        <v>130</v>
      </c>
    </row>
    <row r="283" spans="1:12" hidden="1" x14ac:dyDescent="0.3">
      <c r="A283" s="2" t="s">
        <v>8</v>
      </c>
      <c r="B283" s="2"/>
      <c r="D283" s="2" t="s">
        <v>429</v>
      </c>
      <c r="E283" s="2"/>
      <c r="F283" s="2" t="s">
        <v>430</v>
      </c>
      <c r="G283" s="2"/>
      <c r="H283" s="2"/>
      <c r="I283" s="2" t="s">
        <v>133</v>
      </c>
      <c r="J283" s="2"/>
      <c r="K283" t="b">
        <v>0</v>
      </c>
      <c r="L283" s="2" t="s">
        <v>130</v>
      </c>
    </row>
    <row r="284" spans="1:12" hidden="1" x14ac:dyDescent="0.3">
      <c r="A284" s="2" t="s">
        <v>8</v>
      </c>
      <c r="B284" s="2"/>
      <c r="D284" s="2" t="s">
        <v>429</v>
      </c>
      <c r="E284" s="2"/>
      <c r="F284" s="2" t="s">
        <v>430</v>
      </c>
      <c r="G284" s="2"/>
      <c r="H284" s="2"/>
      <c r="I284" s="2" t="s">
        <v>133</v>
      </c>
      <c r="J284" s="2"/>
      <c r="K284" t="b">
        <v>0</v>
      </c>
      <c r="L284" s="2" t="s">
        <v>130</v>
      </c>
    </row>
    <row r="285" spans="1:12" hidden="1" x14ac:dyDescent="0.3">
      <c r="A285" s="2" t="s">
        <v>8</v>
      </c>
      <c r="B285" s="2"/>
      <c r="D285" s="2" t="s">
        <v>429</v>
      </c>
      <c r="E285" s="2"/>
      <c r="F285" s="2" t="s">
        <v>430</v>
      </c>
      <c r="G285" s="2"/>
      <c r="H285" s="2"/>
      <c r="I285" s="2" t="s">
        <v>133</v>
      </c>
      <c r="J285" s="2"/>
      <c r="K285" t="b">
        <v>0</v>
      </c>
      <c r="L285" s="2" t="s">
        <v>130</v>
      </c>
    </row>
    <row r="286" spans="1:12" hidden="1" x14ac:dyDescent="0.3">
      <c r="A286" s="2" t="s">
        <v>8</v>
      </c>
      <c r="B286" s="2"/>
      <c r="D286" s="2" t="s">
        <v>429</v>
      </c>
      <c r="E286" s="2"/>
      <c r="F286" s="2" t="s">
        <v>430</v>
      </c>
      <c r="G286" s="2"/>
      <c r="H286" s="2"/>
      <c r="I286" s="2" t="s">
        <v>133</v>
      </c>
      <c r="J286" s="2"/>
      <c r="K286" t="b">
        <v>0</v>
      </c>
      <c r="L286" s="2" t="s">
        <v>130</v>
      </c>
    </row>
    <row r="287" spans="1:12" hidden="1" x14ac:dyDescent="0.3">
      <c r="A287" s="2" t="s">
        <v>8</v>
      </c>
      <c r="B287" s="2"/>
      <c r="D287" s="2" t="s">
        <v>429</v>
      </c>
      <c r="E287" s="2"/>
      <c r="F287" s="2" t="s">
        <v>430</v>
      </c>
      <c r="G287" s="2"/>
      <c r="H287" s="2"/>
      <c r="I287" s="2" t="s">
        <v>133</v>
      </c>
      <c r="J287" s="2"/>
      <c r="K287" t="b">
        <v>0</v>
      </c>
      <c r="L287" s="2" t="s">
        <v>130</v>
      </c>
    </row>
    <row r="288" spans="1:12" hidden="1" x14ac:dyDescent="0.3">
      <c r="A288" s="2" t="s">
        <v>8</v>
      </c>
      <c r="B288" s="2"/>
      <c r="D288" s="2" t="s">
        <v>429</v>
      </c>
      <c r="E288" s="2"/>
      <c r="F288" s="2" t="s">
        <v>430</v>
      </c>
      <c r="G288" s="2"/>
      <c r="H288" s="2"/>
      <c r="I288" s="2" t="s">
        <v>133</v>
      </c>
      <c r="J288" s="2"/>
      <c r="K288" t="b">
        <v>0</v>
      </c>
      <c r="L288" s="2" t="s">
        <v>130</v>
      </c>
    </row>
    <row r="289" spans="1:12" hidden="1" x14ac:dyDescent="0.3">
      <c r="A289" s="2" t="s">
        <v>8</v>
      </c>
      <c r="B289" s="2"/>
      <c r="D289" s="2" t="s">
        <v>429</v>
      </c>
      <c r="E289" s="2"/>
      <c r="F289" s="2" t="s">
        <v>430</v>
      </c>
      <c r="G289" s="2"/>
      <c r="H289" s="2"/>
      <c r="I289" s="2" t="s">
        <v>133</v>
      </c>
      <c r="J289" s="2"/>
      <c r="K289" t="b">
        <v>0</v>
      </c>
      <c r="L289" s="2" t="s">
        <v>130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31B6-D3D1-4FD0-A229-F21F82F81506}">
  <dimension ref="A1:L289"/>
  <sheetViews>
    <sheetView workbookViewId="0">
      <selection sqref="A1:L289"/>
    </sheetView>
  </sheetViews>
  <sheetFormatPr defaultRowHeight="14.4" x14ac:dyDescent="0.3"/>
  <cols>
    <col min="1" max="1" width="13" bestFit="1" customWidth="1"/>
    <col min="2" max="2" width="14" bestFit="1" customWidth="1"/>
    <col min="3" max="3" width="9.21875" bestFit="1" customWidth="1"/>
    <col min="4" max="4" width="10.77734375" bestFit="1" customWidth="1"/>
    <col min="5" max="6" width="38.88671875" bestFit="1" customWidth="1"/>
    <col min="7" max="7" width="12.6640625" bestFit="1" customWidth="1"/>
    <col min="8" max="8" width="52.88671875" bestFit="1" customWidth="1"/>
    <col min="9" max="9" width="18.109375" bestFit="1" customWidth="1"/>
    <col min="10" max="10" width="19.109375" bestFit="1" customWidth="1"/>
    <col min="11" max="11" width="11.109375" bestFit="1" customWidth="1"/>
    <col min="12" max="12" width="12.77734375" bestFit="1" customWidth="1"/>
  </cols>
  <sheetData>
    <row r="1" spans="1:12" x14ac:dyDescent="0.3">
      <c r="A1" t="s">
        <v>5</v>
      </c>
      <c r="B1" t="s">
        <v>4</v>
      </c>
      <c r="C1" t="s">
        <v>3</v>
      </c>
      <c r="D1" t="s">
        <v>0</v>
      </c>
      <c r="E1" t="s">
        <v>2</v>
      </c>
      <c r="F1" t="s">
        <v>15</v>
      </c>
      <c r="G1" t="s">
        <v>34</v>
      </c>
      <c r="H1" t="s">
        <v>35</v>
      </c>
      <c r="I1" t="s">
        <v>1</v>
      </c>
      <c r="J1" t="s">
        <v>6</v>
      </c>
      <c r="K1" t="s">
        <v>12</v>
      </c>
      <c r="L1" t="s">
        <v>52</v>
      </c>
    </row>
    <row r="2" spans="1:12" hidden="1" x14ac:dyDescent="0.3">
      <c r="A2" s="2" t="s">
        <v>8</v>
      </c>
      <c r="B2" s="2" t="s">
        <v>20</v>
      </c>
      <c r="C2">
        <v>1</v>
      </c>
      <c r="D2" s="2" t="s">
        <v>131</v>
      </c>
      <c r="E2" s="2" t="s">
        <v>21</v>
      </c>
      <c r="F2" s="2" t="s">
        <v>21</v>
      </c>
      <c r="G2" s="2" t="s">
        <v>36</v>
      </c>
      <c r="H2" s="2" t="s">
        <v>132</v>
      </c>
      <c r="I2" s="2" t="s">
        <v>133</v>
      </c>
      <c r="J2" s="2" t="s">
        <v>134</v>
      </c>
      <c r="K2" t="b">
        <v>0</v>
      </c>
      <c r="L2" s="2" t="s">
        <v>130</v>
      </c>
    </row>
    <row r="3" spans="1:12" hidden="1" x14ac:dyDescent="0.3">
      <c r="A3" s="2" t="s">
        <v>8</v>
      </c>
      <c r="B3" s="2" t="s">
        <v>20</v>
      </c>
      <c r="C3">
        <v>2</v>
      </c>
      <c r="D3" s="2" t="s">
        <v>135</v>
      </c>
      <c r="E3" s="2" t="s">
        <v>28</v>
      </c>
      <c r="F3" s="2" t="s">
        <v>28</v>
      </c>
      <c r="G3" s="2" t="s">
        <v>36</v>
      </c>
      <c r="H3" s="2" t="s">
        <v>132</v>
      </c>
      <c r="I3" s="2" t="s">
        <v>133</v>
      </c>
      <c r="J3" s="2" t="s">
        <v>134</v>
      </c>
      <c r="K3" t="b">
        <v>0</v>
      </c>
      <c r="L3" s="2" t="s">
        <v>130</v>
      </c>
    </row>
    <row r="4" spans="1:12" hidden="1" x14ac:dyDescent="0.3">
      <c r="A4" s="2" t="s">
        <v>8</v>
      </c>
      <c r="B4" s="2" t="s">
        <v>20</v>
      </c>
      <c r="C4">
        <v>3</v>
      </c>
      <c r="D4" s="2" t="s">
        <v>136</v>
      </c>
      <c r="E4" s="2" t="s">
        <v>30</v>
      </c>
      <c r="F4" s="2" t="s">
        <v>30</v>
      </c>
      <c r="G4" s="2" t="s">
        <v>36</v>
      </c>
      <c r="H4" s="2" t="s">
        <v>132</v>
      </c>
      <c r="I4" s="2" t="s">
        <v>133</v>
      </c>
      <c r="J4" s="2" t="s">
        <v>134</v>
      </c>
      <c r="K4" t="b">
        <v>0</v>
      </c>
      <c r="L4" s="2" t="s">
        <v>130</v>
      </c>
    </row>
    <row r="5" spans="1:12" hidden="1" x14ac:dyDescent="0.3">
      <c r="A5" s="2" t="s">
        <v>8</v>
      </c>
      <c r="B5" s="2" t="s">
        <v>20</v>
      </c>
      <c r="C5">
        <v>4</v>
      </c>
      <c r="D5" s="2" t="s">
        <v>137</v>
      </c>
      <c r="E5" s="2" t="s">
        <v>29</v>
      </c>
      <c r="F5" s="2" t="s">
        <v>29</v>
      </c>
      <c r="G5" s="2" t="s">
        <v>36</v>
      </c>
      <c r="H5" s="2" t="s">
        <v>132</v>
      </c>
      <c r="I5" s="2" t="s">
        <v>133</v>
      </c>
      <c r="J5" s="2" t="s">
        <v>134</v>
      </c>
      <c r="K5" t="b">
        <v>0</v>
      </c>
      <c r="L5" s="2" t="s">
        <v>130</v>
      </c>
    </row>
    <row r="6" spans="1:12" hidden="1" x14ac:dyDescent="0.3">
      <c r="A6" s="2" t="s">
        <v>8</v>
      </c>
      <c r="B6" s="2" t="s">
        <v>20</v>
      </c>
      <c r="C6">
        <v>5</v>
      </c>
      <c r="D6" s="2" t="s">
        <v>138</v>
      </c>
      <c r="E6" s="2" t="s">
        <v>32</v>
      </c>
      <c r="F6" s="2" t="s">
        <v>32</v>
      </c>
      <c r="G6" s="2" t="s">
        <v>36</v>
      </c>
      <c r="H6" s="2" t="s">
        <v>132</v>
      </c>
      <c r="I6" s="2" t="s">
        <v>133</v>
      </c>
      <c r="J6" s="2" t="s">
        <v>134</v>
      </c>
      <c r="K6" t="b">
        <v>0</v>
      </c>
      <c r="L6" s="2" t="s">
        <v>130</v>
      </c>
    </row>
    <row r="7" spans="1:12" hidden="1" x14ac:dyDescent="0.3">
      <c r="A7" s="2" t="s">
        <v>8</v>
      </c>
      <c r="B7" s="2" t="s">
        <v>20</v>
      </c>
      <c r="C7">
        <v>6</v>
      </c>
      <c r="D7" s="2" t="s">
        <v>139</v>
      </c>
      <c r="E7" s="2" t="s">
        <v>7</v>
      </c>
      <c r="F7" s="2" t="s">
        <v>7</v>
      </c>
      <c r="G7" s="2" t="s">
        <v>36</v>
      </c>
      <c r="H7" s="2" t="s">
        <v>132</v>
      </c>
      <c r="I7" s="2" t="s">
        <v>133</v>
      </c>
      <c r="J7" s="2" t="s">
        <v>134</v>
      </c>
      <c r="K7" t="b">
        <v>0</v>
      </c>
      <c r="L7" s="2" t="s">
        <v>130</v>
      </c>
    </row>
    <row r="8" spans="1:12" hidden="1" x14ac:dyDescent="0.3">
      <c r="A8" s="2" t="s">
        <v>8</v>
      </c>
      <c r="B8" s="2" t="s">
        <v>20</v>
      </c>
      <c r="C8">
        <v>7</v>
      </c>
      <c r="D8" s="2" t="s">
        <v>140</v>
      </c>
      <c r="E8" s="2" t="s">
        <v>31</v>
      </c>
      <c r="F8" s="2" t="s">
        <v>31</v>
      </c>
      <c r="G8" s="2" t="s">
        <v>36</v>
      </c>
      <c r="H8" s="2" t="s">
        <v>132</v>
      </c>
      <c r="I8" s="2" t="s">
        <v>133</v>
      </c>
      <c r="J8" s="2" t="s">
        <v>134</v>
      </c>
      <c r="K8" t="b">
        <v>0</v>
      </c>
      <c r="L8" s="2" t="s">
        <v>130</v>
      </c>
    </row>
    <row r="9" spans="1:12" hidden="1" x14ac:dyDescent="0.3">
      <c r="A9" s="2" t="s">
        <v>8</v>
      </c>
      <c r="B9" s="2" t="s">
        <v>20</v>
      </c>
      <c r="C9">
        <v>8</v>
      </c>
      <c r="D9" s="2" t="s">
        <v>141</v>
      </c>
      <c r="E9" s="2" t="s">
        <v>33</v>
      </c>
      <c r="F9" s="2" t="s">
        <v>33</v>
      </c>
      <c r="G9" s="2" t="s">
        <v>36</v>
      </c>
      <c r="H9" s="2" t="s">
        <v>132</v>
      </c>
      <c r="I9" s="2" t="s">
        <v>133</v>
      </c>
      <c r="J9" s="2" t="s">
        <v>134</v>
      </c>
      <c r="K9" t="b">
        <v>0</v>
      </c>
      <c r="L9" s="2" t="s">
        <v>130</v>
      </c>
    </row>
    <row r="10" spans="1:12" hidden="1" x14ac:dyDescent="0.3">
      <c r="A10" s="2" t="s">
        <v>8</v>
      </c>
      <c r="B10" s="2" t="s">
        <v>20</v>
      </c>
      <c r="C10">
        <v>9</v>
      </c>
      <c r="D10" s="2" t="s">
        <v>142</v>
      </c>
      <c r="E10" s="2" t="s">
        <v>9</v>
      </c>
      <c r="F10" s="2" t="s">
        <v>9</v>
      </c>
      <c r="G10" s="2" t="s">
        <v>36</v>
      </c>
      <c r="H10" s="2" t="s">
        <v>132</v>
      </c>
      <c r="I10" s="2" t="s">
        <v>133</v>
      </c>
      <c r="J10" s="2" t="s">
        <v>134</v>
      </c>
      <c r="K10" t="b">
        <v>0</v>
      </c>
      <c r="L10" s="2" t="s">
        <v>130</v>
      </c>
    </row>
    <row r="11" spans="1:12" hidden="1" x14ac:dyDescent="0.3">
      <c r="A11" s="2" t="s">
        <v>8</v>
      </c>
      <c r="B11" s="2" t="s">
        <v>20</v>
      </c>
      <c r="C11">
        <v>10</v>
      </c>
      <c r="D11" s="2" t="s">
        <v>143</v>
      </c>
      <c r="E11" s="2" t="s">
        <v>17</v>
      </c>
      <c r="F11" s="2" t="s">
        <v>17</v>
      </c>
      <c r="G11" s="2" t="s">
        <v>36</v>
      </c>
      <c r="H11" s="2" t="s">
        <v>132</v>
      </c>
      <c r="I11" s="2" t="s">
        <v>133</v>
      </c>
      <c r="J11" s="2" t="s">
        <v>134</v>
      </c>
      <c r="K11" t="b">
        <v>0</v>
      </c>
      <c r="L11" s="2" t="s">
        <v>130</v>
      </c>
    </row>
    <row r="12" spans="1:12" hidden="1" x14ac:dyDescent="0.3">
      <c r="A12" s="2" t="s">
        <v>8</v>
      </c>
      <c r="B12" s="2" t="s">
        <v>20</v>
      </c>
      <c r="C12">
        <v>11</v>
      </c>
      <c r="D12" s="2" t="s">
        <v>144</v>
      </c>
      <c r="E12" s="2" t="s">
        <v>11</v>
      </c>
      <c r="F12" s="2" t="s">
        <v>11</v>
      </c>
      <c r="G12" s="2" t="s">
        <v>36</v>
      </c>
      <c r="H12" s="2" t="s">
        <v>132</v>
      </c>
      <c r="I12" s="2" t="s">
        <v>133</v>
      </c>
      <c r="J12" s="2" t="s">
        <v>134</v>
      </c>
      <c r="K12" t="b">
        <v>0</v>
      </c>
      <c r="L12" s="2" t="s">
        <v>130</v>
      </c>
    </row>
    <row r="13" spans="1:12" hidden="1" x14ac:dyDescent="0.3">
      <c r="A13" s="2" t="s">
        <v>8</v>
      </c>
      <c r="B13" s="2" t="s">
        <v>20</v>
      </c>
      <c r="C13">
        <v>12</v>
      </c>
      <c r="D13" s="2" t="s">
        <v>145</v>
      </c>
      <c r="E13" s="2" t="s">
        <v>14</v>
      </c>
      <c r="F13" s="2" t="s">
        <v>146</v>
      </c>
      <c r="G13" s="2" t="s">
        <v>36</v>
      </c>
      <c r="H13" s="2" t="s">
        <v>132</v>
      </c>
      <c r="I13" s="2" t="s">
        <v>133</v>
      </c>
      <c r="J13" s="2" t="s">
        <v>134</v>
      </c>
      <c r="K13" t="b">
        <v>1</v>
      </c>
      <c r="L13" s="2" t="s">
        <v>130</v>
      </c>
    </row>
    <row r="14" spans="1:12" hidden="1" x14ac:dyDescent="0.3">
      <c r="A14" s="2" t="s">
        <v>8</v>
      </c>
      <c r="B14" s="2" t="s">
        <v>20</v>
      </c>
      <c r="C14">
        <v>13</v>
      </c>
      <c r="D14" s="2" t="s">
        <v>147</v>
      </c>
      <c r="E14" s="2" t="s">
        <v>25</v>
      </c>
      <c r="F14" s="2" t="s">
        <v>25</v>
      </c>
      <c r="G14" s="2" t="s">
        <v>36</v>
      </c>
      <c r="H14" s="2" t="s">
        <v>132</v>
      </c>
      <c r="I14" s="2" t="s">
        <v>133</v>
      </c>
      <c r="J14" s="2" t="s">
        <v>134</v>
      </c>
      <c r="K14" t="b">
        <v>0</v>
      </c>
      <c r="L14" s="2" t="s">
        <v>130</v>
      </c>
    </row>
    <row r="15" spans="1:12" hidden="1" x14ac:dyDescent="0.3">
      <c r="A15" s="2" t="s">
        <v>8</v>
      </c>
      <c r="B15" s="2" t="s">
        <v>20</v>
      </c>
      <c r="C15">
        <v>14</v>
      </c>
      <c r="D15" s="2" t="s">
        <v>148</v>
      </c>
      <c r="E15" s="2" t="s">
        <v>26</v>
      </c>
      <c r="F15" s="2" t="s">
        <v>26</v>
      </c>
      <c r="G15" s="2" t="s">
        <v>36</v>
      </c>
      <c r="H15" s="2" t="s">
        <v>132</v>
      </c>
      <c r="I15" s="2" t="s">
        <v>133</v>
      </c>
      <c r="J15" s="2" t="s">
        <v>134</v>
      </c>
      <c r="K15" t="b">
        <v>0</v>
      </c>
      <c r="L15" s="2" t="s">
        <v>130</v>
      </c>
    </row>
    <row r="16" spans="1:12" hidden="1" x14ac:dyDescent="0.3">
      <c r="A16" s="2" t="s">
        <v>8</v>
      </c>
      <c r="B16" s="2" t="s">
        <v>20</v>
      </c>
      <c r="C16">
        <v>15</v>
      </c>
      <c r="D16" s="2" t="s">
        <v>149</v>
      </c>
      <c r="E16" s="2" t="s">
        <v>27</v>
      </c>
      <c r="F16" s="2" t="s">
        <v>27</v>
      </c>
      <c r="G16" s="2" t="s">
        <v>36</v>
      </c>
      <c r="H16" s="2" t="s">
        <v>132</v>
      </c>
      <c r="I16" s="2" t="s">
        <v>133</v>
      </c>
      <c r="J16" s="2" t="s">
        <v>134</v>
      </c>
      <c r="K16" t="b">
        <v>0</v>
      </c>
      <c r="L16" s="2" t="s">
        <v>130</v>
      </c>
    </row>
    <row r="17" spans="1:12" hidden="1" x14ac:dyDescent="0.3">
      <c r="A17" s="2" t="s">
        <v>8</v>
      </c>
      <c r="B17" s="2" t="s">
        <v>20</v>
      </c>
      <c r="C17">
        <v>16</v>
      </c>
      <c r="D17" s="2" t="s">
        <v>150</v>
      </c>
      <c r="E17" s="2" t="s">
        <v>24</v>
      </c>
      <c r="F17" s="2" t="s">
        <v>24</v>
      </c>
      <c r="G17" s="2" t="s">
        <v>36</v>
      </c>
      <c r="H17" s="2" t="s">
        <v>132</v>
      </c>
      <c r="I17" s="2" t="s">
        <v>133</v>
      </c>
      <c r="J17" s="2" t="s">
        <v>134</v>
      </c>
      <c r="K17" t="b">
        <v>0</v>
      </c>
      <c r="L17" s="2" t="s">
        <v>130</v>
      </c>
    </row>
    <row r="18" spans="1:12" hidden="1" x14ac:dyDescent="0.3">
      <c r="A18" s="2" t="s">
        <v>8</v>
      </c>
      <c r="B18" s="2" t="s">
        <v>20</v>
      </c>
      <c r="C18">
        <v>17</v>
      </c>
      <c r="D18" s="2" t="s">
        <v>151</v>
      </c>
      <c r="E18" s="2" t="s">
        <v>10</v>
      </c>
      <c r="F18" s="2" t="s">
        <v>10</v>
      </c>
      <c r="G18" s="2" t="s">
        <v>36</v>
      </c>
      <c r="H18" s="2" t="s">
        <v>132</v>
      </c>
      <c r="I18" s="2" t="s">
        <v>133</v>
      </c>
      <c r="J18" s="2" t="s">
        <v>134</v>
      </c>
      <c r="K18" t="b">
        <v>0</v>
      </c>
      <c r="L18" s="2" t="s">
        <v>130</v>
      </c>
    </row>
    <row r="19" spans="1:12" hidden="1" x14ac:dyDescent="0.3">
      <c r="A19" s="2" t="s">
        <v>8</v>
      </c>
      <c r="B19" s="2" t="s">
        <v>20</v>
      </c>
      <c r="C19">
        <v>18</v>
      </c>
      <c r="D19" s="2" t="s">
        <v>152</v>
      </c>
      <c r="E19" s="2" t="s">
        <v>19</v>
      </c>
      <c r="F19" s="2" t="s">
        <v>19</v>
      </c>
      <c r="G19" s="2" t="s">
        <v>36</v>
      </c>
      <c r="H19" s="2" t="s">
        <v>132</v>
      </c>
      <c r="I19" s="2" t="s">
        <v>133</v>
      </c>
      <c r="J19" s="2" t="s">
        <v>134</v>
      </c>
      <c r="K19" t="b">
        <v>0</v>
      </c>
      <c r="L19" s="2" t="s">
        <v>130</v>
      </c>
    </row>
    <row r="20" spans="1:12" hidden="1" x14ac:dyDescent="0.3">
      <c r="A20" s="2" t="s">
        <v>8</v>
      </c>
      <c r="B20" s="2" t="s">
        <v>20</v>
      </c>
      <c r="C20">
        <v>19</v>
      </c>
      <c r="D20" s="2" t="s">
        <v>153</v>
      </c>
      <c r="E20" s="2" t="s">
        <v>13</v>
      </c>
      <c r="F20" s="2" t="s">
        <v>13</v>
      </c>
      <c r="G20" s="2" t="s">
        <v>36</v>
      </c>
      <c r="H20" s="2" t="s">
        <v>132</v>
      </c>
      <c r="I20" s="2" t="s">
        <v>133</v>
      </c>
      <c r="J20" s="2" t="s">
        <v>134</v>
      </c>
      <c r="K20" t="b">
        <v>0</v>
      </c>
      <c r="L20" s="2" t="s">
        <v>130</v>
      </c>
    </row>
    <row r="21" spans="1:12" hidden="1" x14ac:dyDescent="0.3">
      <c r="A21" s="2" t="s">
        <v>8</v>
      </c>
      <c r="B21" s="2" t="s">
        <v>20</v>
      </c>
      <c r="C21">
        <v>20</v>
      </c>
      <c r="D21" s="2" t="s">
        <v>154</v>
      </c>
      <c r="E21" s="2" t="s">
        <v>16</v>
      </c>
      <c r="F21" s="2" t="s">
        <v>155</v>
      </c>
      <c r="G21" s="2" t="s">
        <v>36</v>
      </c>
      <c r="H21" s="2" t="s">
        <v>132</v>
      </c>
      <c r="I21" s="2" t="s">
        <v>133</v>
      </c>
      <c r="J21" s="2" t="s">
        <v>134</v>
      </c>
      <c r="K21" t="b">
        <v>1</v>
      </c>
      <c r="L21" s="2" t="s">
        <v>130</v>
      </c>
    </row>
    <row r="22" spans="1:12" hidden="1" x14ac:dyDescent="0.3">
      <c r="A22" s="2" t="s">
        <v>8</v>
      </c>
      <c r="B22" s="2" t="s">
        <v>20</v>
      </c>
      <c r="C22">
        <v>21</v>
      </c>
      <c r="D22" s="2" t="s">
        <v>156</v>
      </c>
      <c r="E22" s="2" t="s">
        <v>18</v>
      </c>
      <c r="F22" s="2" t="s">
        <v>18</v>
      </c>
      <c r="G22" s="2" t="s">
        <v>36</v>
      </c>
      <c r="H22" s="2" t="s">
        <v>132</v>
      </c>
      <c r="I22" s="2" t="s">
        <v>133</v>
      </c>
      <c r="J22" s="2" t="s">
        <v>134</v>
      </c>
      <c r="K22" t="b">
        <v>0</v>
      </c>
      <c r="L22" s="2" t="s">
        <v>130</v>
      </c>
    </row>
    <row r="23" spans="1:12" hidden="1" x14ac:dyDescent="0.3">
      <c r="A23" s="2" t="s">
        <v>8</v>
      </c>
      <c r="B23" s="2" t="s">
        <v>20</v>
      </c>
      <c r="C23">
        <v>22</v>
      </c>
      <c r="D23" s="2" t="s">
        <v>157</v>
      </c>
      <c r="E23" s="2" t="s">
        <v>37</v>
      </c>
      <c r="F23" s="2" t="s">
        <v>37</v>
      </c>
      <c r="G23" s="2" t="s">
        <v>38</v>
      </c>
      <c r="H23" s="2" t="s">
        <v>158</v>
      </c>
      <c r="I23" s="2" t="s">
        <v>133</v>
      </c>
      <c r="J23" s="2" t="s">
        <v>134</v>
      </c>
      <c r="K23" t="b">
        <v>0</v>
      </c>
      <c r="L23" s="2" t="s">
        <v>130</v>
      </c>
    </row>
    <row r="24" spans="1:12" hidden="1" x14ac:dyDescent="0.3">
      <c r="A24" s="2" t="s">
        <v>8</v>
      </c>
      <c r="B24" s="2" t="s">
        <v>20</v>
      </c>
      <c r="C24">
        <v>23</v>
      </c>
      <c r="D24" s="2" t="s">
        <v>159</v>
      </c>
      <c r="E24" s="2" t="s">
        <v>40</v>
      </c>
      <c r="F24" s="2" t="s">
        <v>40</v>
      </c>
      <c r="G24" s="2" t="s">
        <v>38</v>
      </c>
      <c r="H24" s="2" t="s">
        <v>158</v>
      </c>
      <c r="I24" s="2" t="s">
        <v>133</v>
      </c>
      <c r="J24" s="2" t="s">
        <v>134</v>
      </c>
      <c r="K24" t="b">
        <v>0</v>
      </c>
      <c r="L24" s="2" t="s">
        <v>130</v>
      </c>
    </row>
    <row r="25" spans="1:12" hidden="1" x14ac:dyDescent="0.3">
      <c r="A25" s="2" t="s">
        <v>8</v>
      </c>
      <c r="B25" s="2" t="s">
        <v>20</v>
      </c>
      <c r="C25">
        <v>24</v>
      </c>
      <c r="D25" s="2" t="s">
        <v>160</v>
      </c>
      <c r="E25" s="2" t="s">
        <v>41</v>
      </c>
      <c r="F25" s="2" t="s">
        <v>41</v>
      </c>
      <c r="G25" s="2" t="s">
        <v>38</v>
      </c>
      <c r="H25" s="2" t="s">
        <v>158</v>
      </c>
      <c r="I25" s="2" t="s">
        <v>133</v>
      </c>
      <c r="J25" s="2" t="s">
        <v>134</v>
      </c>
      <c r="K25" t="b">
        <v>0</v>
      </c>
      <c r="L25" s="2" t="s">
        <v>130</v>
      </c>
    </row>
    <row r="26" spans="1:12" hidden="1" x14ac:dyDescent="0.3">
      <c r="A26" s="2" t="s">
        <v>8</v>
      </c>
      <c r="B26" s="2" t="s">
        <v>20</v>
      </c>
      <c r="C26">
        <v>25</v>
      </c>
      <c r="D26" s="2" t="s">
        <v>161</v>
      </c>
      <c r="E26" s="2" t="s">
        <v>39</v>
      </c>
      <c r="F26" s="2" t="s">
        <v>39</v>
      </c>
      <c r="G26" s="2" t="s">
        <v>38</v>
      </c>
      <c r="H26" s="2" t="s">
        <v>158</v>
      </c>
      <c r="I26" s="2" t="s">
        <v>133</v>
      </c>
      <c r="J26" s="2" t="s">
        <v>134</v>
      </c>
      <c r="K26" t="b">
        <v>0</v>
      </c>
      <c r="L26" s="2" t="s">
        <v>130</v>
      </c>
    </row>
    <row r="27" spans="1:12" hidden="1" x14ac:dyDescent="0.3">
      <c r="A27" s="2" t="s">
        <v>8</v>
      </c>
      <c r="B27" s="2" t="s">
        <v>20</v>
      </c>
      <c r="C27">
        <v>26</v>
      </c>
      <c r="D27" s="2" t="s">
        <v>162</v>
      </c>
      <c r="E27" s="2" t="s">
        <v>42</v>
      </c>
      <c r="F27" s="2" t="s">
        <v>42</v>
      </c>
      <c r="G27" s="2" t="s">
        <v>46</v>
      </c>
      <c r="H27" s="2" t="s">
        <v>163</v>
      </c>
      <c r="I27" s="2" t="s">
        <v>133</v>
      </c>
      <c r="J27" s="2" t="s">
        <v>134</v>
      </c>
      <c r="K27" t="b">
        <v>0</v>
      </c>
      <c r="L27" s="2" t="s">
        <v>130</v>
      </c>
    </row>
    <row r="28" spans="1:12" hidden="1" x14ac:dyDescent="0.3">
      <c r="A28" s="2" t="s">
        <v>8</v>
      </c>
      <c r="B28" s="2" t="s">
        <v>20</v>
      </c>
      <c r="C28">
        <v>27</v>
      </c>
      <c r="D28" s="2" t="s">
        <v>164</v>
      </c>
      <c r="E28" s="2" t="s">
        <v>43</v>
      </c>
      <c r="F28" s="2" t="s">
        <v>43</v>
      </c>
      <c r="G28" s="2" t="s">
        <v>46</v>
      </c>
      <c r="H28" s="2" t="s">
        <v>163</v>
      </c>
      <c r="I28" s="2" t="s">
        <v>133</v>
      </c>
      <c r="J28" s="2" t="s">
        <v>134</v>
      </c>
      <c r="K28" t="b">
        <v>0</v>
      </c>
      <c r="L28" s="2" t="s">
        <v>130</v>
      </c>
    </row>
    <row r="29" spans="1:12" hidden="1" x14ac:dyDescent="0.3">
      <c r="A29" s="2" t="s">
        <v>8</v>
      </c>
      <c r="B29" s="2" t="s">
        <v>20</v>
      </c>
      <c r="C29">
        <v>28</v>
      </c>
      <c r="D29" s="2" t="s">
        <v>165</v>
      </c>
      <c r="E29" s="2" t="s">
        <v>44</v>
      </c>
      <c r="F29" s="2" t="s">
        <v>44</v>
      </c>
      <c r="G29" s="2" t="s">
        <v>46</v>
      </c>
      <c r="H29" s="2" t="s">
        <v>163</v>
      </c>
      <c r="I29" s="2" t="s">
        <v>133</v>
      </c>
      <c r="J29" s="2" t="s">
        <v>134</v>
      </c>
      <c r="K29" t="b">
        <v>0</v>
      </c>
      <c r="L29" s="2" t="s">
        <v>130</v>
      </c>
    </row>
    <row r="30" spans="1:12" hidden="1" x14ac:dyDescent="0.3">
      <c r="A30" s="2" t="s">
        <v>8</v>
      </c>
      <c r="B30" s="2" t="s">
        <v>20</v>
      </c>
      <c r="C30">
        <v>29</v>
      </c>
      <c r="D30" s="2" t="s">
        <v>166</v>
      </c>
      <c r="E30" s="2" t="s">
        <v>45</v>
      </c>
      <c r="F30" s="2" t="s">
        <v>45</v>
      </c>
      <c r="G30" s="2" t="s">
        <v>46</v>
      </c>
      <c r="H30" s="2" t="s">
        <v>163</v>
      </c>
      <c r="I30" s="2" t="s">
        <v>133</v>
      </c>
      <c r="J30" s="2" t="s">
        <v>134</v>
      </c>
      <c r="K30" t="b">
        <v>0</v>
      </c>
      <c r="L30" s="2" t="s">
        <v>130</v>
      </c>
    </row>
    <row r="31" spans="1:12" hidden="1" x14ac:dyDescent="0.3">
      <c r="A31" s="2" t="s">
        <v>8</v>
      </c>
      <c r="B31" s="2" t="s">
        <v>22</v>
      </c>
      <c r="C31">
        <v>1</v>
      </c>
      <c r="D31" s="2" t="s">
        <v>167</v>
      </c>
      <c r="E31" s="2" t="s">
        <v>21</v>
      </c>
      <c r="F31" s="2" t="s">
        <v>21</v>
      </c>
      <c r="G31" s="2" t="s">
        <v>36</v>
      </c>
      <c r="H31" s="2" t="s">
        <v>132</v>
      </c>
      <c r="I31" s="2" t="s">
        <v>133</v>
      </c>
      <c r="J31" s="2" t="s">
        <v>168</v>
      </c>
      <c r="K31" t="b">
        <v>0</v>
      </c>
      <c r="L31" s="2" t="s">
        <v>130</v>
      </c>
    </row>
    <row r="32" spans="1:12" hidden="1" x14ac:dyDescent="0.3">
      <c r="A32" s="2" t="s">
        <v>8</v>
      </c>
      <c r="B32" s="2" t="s">
        <v>22</v>
      </c>
      <c r="C32">
        <v>2</v>
      </c>
      <c r="D32" s="2" t="s">
        <v>169</v>
      </c>
      <c r="E32" s="2" t="s">
        <v>28</v>
      </c>
      <c r="F32" s="2" t="s">
        <v>28</v>
      </c>
      <c r="G32" s="2" t="s">
        <v>36</v>
      </c>
      <c r="H32" s="2" t="s">
        <v>132</v>
      </c>
      <c r="I32" s="2" t="s">
        <v>133</v>
      </c>
      <c r="J32" s="2" t="s">
        <v>168</v>
      </c>
      <c r="K32" t="b">
        <v>0</v>
      </c>
      <c r="L32" s="2" t="s">
        <v>130</v>
      </c>
    </row>
    <row r="33" spans="1:12" hidden="1" x14ac:dyDescent="0.3">
      <c r="A33" s="2" t="s">
        <v>8</v>
      </c>
      <c r="B33" s="2" t="s">
        <v>22</v>
      </c>
      <c r="C33">
        <v>3</v>
      </c>
      <c r="D33" s="2" t="s">
        <v>170</v>
      </c>
      <c r="E33" s="2" t="s">
        <v>30</v>
      </c>
      <c r="F33" s="2" t="s">
        <v>30</v>
      </c>
      <c r="G33" s="2" t="s">
        <v>36</v>
      </c>
      <c r="H33" s="2" t="s">
        <v>132</v>
      </c>
      <c r="I33" s="2" t="s">
        <v>133</v>
      </c>
      <c r="J33" s="2" t="s">
        <v>168</v>
      </c>
      <c r="K33" t="b">
        <v>0</v>
      </c>
      <c r="L33" s="2" t="s">
        <v>130</v>
      </c>
    </row>
    <row r="34" spans="1:12" hidden="1" x14ac:dyDescent="0.3">
      <c r="A34" s="2" t="s">
        <v>8</v>
      </c>
      <c r="B34" s="2" t="s">
        <v>22</v>
      </c>
      <c r="C34">
        <v>4</v>
      </c>
      <c r="D34" s="2" t="s">
        <v>171</v>
      </c>
      <c r="E34" s="2" t="s">
        <v>32</v>
      </c>
      <c r="F34" s="2" t="s">
        <v>32</v>
      </c>
      <c r="G34" s="2" t="s">
        <v>36</v>
      </c>
      <c r="H34" s="2" t="s">
        <v>132</v>
      </c>
      <c r="I34" s="2" t="s">
        <v>133</v>
      </c>
      <c r="J34" s="2" t="s">
        <v>168</v>
      </c>
      <c r="K34" t="b">
        <v>0</v>
      </c>
      <c r="L34" s="2" t="s">
        <v>130</v>
      </c>
    </row>
    <row r="35" spans="1:12" hidden="1" x14ac:dyDescent="0.3">
      <c r="A35" s="2" t="s">
        <v>8</v>
      </c>
      <c r="B35" s="2" t="s">
        <v>22</v>
      </c>
      <c r="C35">
        <v>5</v>
      </c>
      <c r="D35" s="2" t="s">
        <v>172</v>
      </c>
      <c r="E35" s="2" t="s">
        <v>48</v>
      </c>
      <c r="F35" s="2" t="s">
        <v>48</v>
      </c>
      <c r="G35" s="2" t="s">
        <v>36</v>
      </c>
      <c r="H35" s="2" t="s">
        <v>132</v>
      </c>
      <c r="I35" s="2" t="s">
        <v>133</v>
      </c>
      <c r="J35" s="2" t="s">
        <v>168</v>
      </c>
      <c r="K35" t="b">
        <v>0</v>
      </c>
      <c r="L35" s="2" t="s">
        <v>130</v>
      </c>
    </row>
    <row r="36" spans="1:12" hidden="1" x14ac:dyDescent="0.3">
      <c r="A36" s="2" t="s">
        <v>8</v>
      </c>
      <c r="B36" s="2" t="s">
        <v>22</v>
      </c>
      <c r="C36">
        <v>1</v>
      </c>
      <c r="D36" s="2" t="s">
        <v>167</v>
      </c>
      <c r="E36" s="2" t="s">
        <v>7</v>
      </c>
      <c r="F36" s="2" t="s">
        <v>7</v>
      </c>
      <c r="G36" s="2" t="s">
        <v>36</v>
      </c>
      <c r="H36" s="2" t="s">
        <v>132</v>
      </c>
      <c r="I36" s="2" t="s">
        <v>133</v>
      </c>
      <c r="J36" s="2" t="s">
        <v>168</v>
      </c>
      <c r="K36" t="b">
        <v>0</v>
      </c>
      <c r="L36" s="2" t="s">
        <v>130</v>
      </c>
    </row>
    <row r="37" spans="1:12" hidden="1" x14ac:dyDescent="0.3">
      <c r="A37" s="2" t="s">
        <v>8</v>
      </c>
      <c r="B37" s="2" t="s">
        <v>22</v>
      </c>
      <c r="C37">
        <v>2</v>
      </c>
      <c r="D37" s="2" t="s">
        <v>169</v>
      </c>
      <c r="E37" s="2" t="s">
        <v>33</v>
      </c>
      <c r="F37" s="2" t="s">
        <v>33</v>
      </c>
      <c r="G37" s="2" t="s">
        <v>36</v>
      </c>
      <c r="H37" s="2" t="s">
        <v>132</v>
      </c>
      <c r="I37" s="2" t="s">
        <v>133</v>
      </c>
      <c r="J37" s="2" t="s">
        <v>168</v>
      </c>
      <c r="K37" t="b">
        <v>0</v>
      </c>
      <c r="L37" s="2" t="s">
        <v>130</v>
      </c>
    </row>
    <row r="38" spans="1:12" hidden="1" x14ac:dyDescent="0.3">
      <c r="A38" s="2" t="s">
        <v>8</v>
      </c>
      <c r="B38" s="2" t="s">
        <v>22</v>
      </c>
      <c r="C38">
        <v>3</v>
      </c>
      <c r="D38" s="2" t="s">
        <v>170</v>
      </c>
      <c r="E38" s="2" t="s">
        <v>17</v>
      </c>
      <c r="F38" s="2" t="s">
        <v>17</v>
      </c>
      <c r="G38" s="2" t="s">
        <v>36</v>
      </c>
      <c r="H38" s="2" t="s">
        <v>132</v>
      </c>
      <c r="I38" s="2" t="s">
        <v>133</v>
      </c>
      <c r="J38" s="2" t="s">
        <v>168</v>
      </c>
      <c r="K38" t="b">
        <v>0</v>
      </c>
      <c r="L38" s="2" t="s">
        <v>130</v>
      </c>
    </row>
    <row r="39" spans="1:12" hidden="1" x14ac:dyDescent="0.3">
      <c r="A39" s="2" t="s">
        <v>8</v>
      </c>
      <c r="B39" s="2" t="s">
        <v>22</v>
      </c>
      <c r="C39">
        <v>4</v>
      </c>
      <c r="D39" s="2" t="s">
        <v>171</v>
      </c>
      <c r="E39" s="2" t="s">
        <v>11</v>
      </c>
      <c r="F39" s="2" t="s">
        <v>11</v>
      </c>
      <c r="G39" s="2" t="s">
        <v>36</v>
      </c>
      <c r="H39" s="2" t="s">
        <v>132</v>
      </c>
      <c r="I39" s="2" t="s">
        <v>133</v>
      </c>
      <c r="J39" s="2" t="s">
        <v>168</v>
      </c>
      <c r="K39" t="b">
        <v>0</v>
      </c>
      <c r="L39" s="2" t="s">
        <v>130</v>
      </c>
    </row>
    <row r="40" spans="1:12" hidden="1" x14ac:dyDescent="0.3">
      <c r="A40" s="2" t="s">
        <v>8</v>
      </c>
      <c r="B40" s="2" t="s">
        <v>22</v>
      </c>
      <c r="C40">
        <v>5</v>
      </c>
      <c r="D40" s="2" t="s">
        <v>172</v>
      </c>
      <c r="E40" s="2" t="s">
        <v>14</v>
      </c>
      <c r="F40" s="2" t="s">
        <v>146</v>
      </c>
      <c r="G40" s="2" t="s">
        <v>36</v>
      </c>
      <c r="H40" s="2" t="s">
        <v>132</v>
      </c>
      <c r="I40" s="2" t="s">
        <v>133</v>
      </c>
      <c r="J40" s="2" t="s">
        <v>168</v>
      </c>
      <c r="K40" t="b">
        <v>1</v>
      </c>
      <c r="L40" s="2" t="s">
        <v>130</v>
      </c>
    </row>
    <row r="41" spans="1:12" hidden="1" x14ac:dyDescent="0.3">
      <c r="A41" s="2" t="s">
        <v>8</v>
      </c>
      <c r="B41" s="2" t="s">
        <v>22</v>
      </c>
      <c r="C41">
        <v>6</v>
      </c>
      <c r="D41" s="2" t="s">
        <v>173</v>
      </c>
      <c r="E41" s="2" t="s">
        <v>25</v>
      </c>
      <c r="F41" s="2" t="s">
        <v>25</v>
      </c>
      <c r="G41" s="2" t="s">
        <v>36</v>
      </c>
      <c r="H41" s="2" t="s">
        <v>132</v>
      </c>
      <c r="I41" s="2" t="s">
        <v>133</v>
      </c>
      <c r="J41" s="2" t="s">
        <v>168</v>
      </c>
      <c r="K41" t="b">
        <v>0</v>
      </c>
      <c r="L41" s="2" t="s">
        <v>130</v>
      </c>
    </row>
    <row r="42" spans="1:12" hidden="1" x14ac:dyDescent="0.3">
      <c r="A42" s="2" t="s">
        <v>8</v>
      </c>
      <c r="B42" s="2" t="s">
        <v>22</v>
      </c>
      <c r="C42">
        <v>7</v>
      </c>
      <c r="D42" s="2" t="s">
        <v>174</v>
      </c>
      <c r="E42" s="2" t="s">
        <v>26</v>
      </c>
      <c r="F42" s="2" t="s">
        <v>26</v>
      </c>
      <c r="G42" s="2" t="s">
        <v>36</v>
      </c>
      <c r="H42" s="2" t="s">
        <v>132</v>
      </c>
      <c r="I42" s="2" t="s">
        <v>133</v>
      </c>
      <c r="J42" s="2" t="s">
        <v>168</v>
      </c>
      <c r="K42" t="b">
        <v>0</v>
      </c>
      <c r="L42" s="2" t="s">
        <v>130</v>
      </c>
    </row>
    <row r="43" spans="1:12" hidden="1" x14ac:dyDescent="0.3">
      <c r="A43" s="2" t="s">
        <v>8</v>
      </c>
      <c r="B43" s="2" t="s">
        <v>22</v>
      </c>
      <c r="C43">
        <v>8</v>
      </c>
      <c r="D43" s="2" t="s">
        <v>175</v>
      </c>
      <c r="E43" s="2" t="s">
        <v>47</v>
      </c>
      <c r="F43" s="2" t="s">
        <v>47</v>
      </c>
      <c r="G43" s="2" t="s">
        <v>36</v>
      </c>
      <c r="H43" s="2" t="s">
        <v>132</v>
      </c>
      <c r="I43" s="2" t="s">
        <v>133</v>
      </c>
      <c r="J43" s="2" t="s">
        <v>168</v>
      </c>
      <c r="K43" t="b">
        <v>0</v>
      </c>
      <c r="L43" s="2" t="s">
        <v>130</v>
      </c>
    </row>
    <row r="44" spans="1:12" hidden="1" x14ac:dyDescent="0.3">
      <c r="A44" s="2" t="s">
        <v>8</v>
      </c>
      <c r="B44" s="2" t="s">
        <v>22</v>
      </c>
      <c r="C44">
        <v>9</v>
      </c>
      <c r="D44" s="2" t="s">
        <v>176</v>
      </c>
      <c r="E44" s="2" t="s">
        <v>24</v>
      </c>
      <c r="F44" s="2" t="s">
        <v>24</v>
      </c>
      <c r="G44" s="2" t="s">
        <v>36</v>
      </c>
      <c r="H44" s="2" t="s">
        <v>132</v>
      </c>
      <c r="I44" s="2" t="s">
        <v>133</v>
      </c>
      <c r="J44" s="2" t="s">
        <v>168</v>
      </c>
      <c r="K44" t="b">
        <v>0</v>
      </c>
      <c r="L44" s="2" t="s">
        <v>130</v>
      </c>
    </row>
    <row r="45" spans="1:12" hidden="1" x14ac:dyDescent="0.3">
      <c r="A45" s="2" t="s">
        <v>8</v>
      </c>
      <c r="B45" s="2" t="s">
        <v>22</v>
      </c>
      <c r="C45">
        <v>10</v>
      </c>
      <c r="D45" s="2" t="s">
        <v>177</v>
      </c>
      <c r="E45" s="2" t="s">
        <v>10</v>
      </c>
      <c r="F45" s="2" t="s">
        <v>10</v>
      </c>
      <c r="G45" s="2" t="s">
        <v>36</v>
      </c>
      <c r="H45" s="2" t="s">
        <v>132</v>
      </c>
      <c r="I45" s="2" t="s">
        <v>133</v>
      </c>
      <c r="J45" s="2" t="s">
        <v>168</v>
      </c>
      <c r="K45" t="b">
        <v>0</v>
      </c>
      <c r="L45" s="2" t="s">
        <v>130</v>
      </c>
    </row>
    <row r="46" spans="1:12" hidden="1" x14ac:dyDescent="0.3">
      <c r="A46" s="2" t="s">
        <v>8</v>
      </c>
      <c r="B46" s="2" t="s">
        <v>22</v>
      </c>
      <c r="C46">
        <v>11</v>
      </c>
      <c r="D46" s="2" t="s">
        <v>178</v>
      </c>
      <c r="E46" s="2" t="s">
        <v>19</v>
      </c>
      <c r="F46" s="2" t="s">
        <v>19</v>
      </c>
      <c r="G46" s="2" t="s">
        <v>36</v>
      </c>
      <c r="H46" s="2" t="s">
        <v>132</v>
      </c>
      <c r="I46" s="2" t="s">
        <v>133</v>
      </c>
      <c r="J46" s="2" t="s">
        <v>168</v>
      </c>
      <c r="K46" t="b">
        <v>0</v>
      </c>
      <c r="L46" s="2" t="s">
        <v>130</v>
      </c>
    </row>
    <row r="47" spans="1:12" hidden="1" x14ac:dyDescent="0.3">
      <c r="A47" s="2" t="s">
        <v>8</v>
      </c>
      <c r="B47" s="2" t="s">
        <v>22</v>
      </c>
      <c r="C47">
        <v>12</v>
      </c>
      <c r="D47" s="2" t="s">
        <v>179</v>
      </c>
      <c r="E47" s="2" t="s">
        <v>13</v>
      </c>
      <c r="F47" s="2" t="s">
        <v>13</v>
      </c>
      <c r="G47" s="2" t="s">
        <v>36</v>
      </c>
      <c r="H47" s="2" t="s">
        <v>132</v>
      </c>
      <c r="I47" s="2" t="s">
        <v>133</v>
      </c>
      <c r="J47" s="2" t="s">
        <v>168</v>
      </c>
      <c r="K47" t="b">
        <v>0</v>
      </c>
      <c r="L47" s="2" t="s">
        <v>130</v>
      </c>
    </row>
    <row r="48" spans="1:12" hidden="1" x14ac:dyDescent="0.3">
      <c r="A48" s="2" t="s">
        <v>8</v>
      </c>
      <c r="B48" s="2" t="s">
        <v>22</v>
      </c>
      <c r="C48">
        <v>13</v>
      </c>
      <c r="D48" s="2" t="s">
        <v>180</v>
      </c>
      <c r="E48" s="2" t="s">
        <v>16</v>
      </c>
      <c r="F48" s="2" t="s">
        <v>155</v>
      </c>
      <c r="G48" s="2" t="s">
        <v>36</v>
      </c>
      <c r="H48" s="2" t="s">
        <v>132</v>
      </c>
      <c r="I48" s="2" t="s">
        <v>133</v>
      </c>
      <c r="J48" s="2" t="s">
        <v>168</v>
      </c>
      <c r="K48" t="b">
        <v>1</v>
      </c>
      <c r="L48" s="2" t="s">
        <v>130</v>
      </c>
    </row>
    <row r="49" spans="1:12" hidden="1" x14ac:dyDescent="0.3">
      <c r="A49" s="2" t="s">
        <v>8</v>
      </c>
      <c r="B49" s="2" t="s">
        <v>22</v>
      </c>
      <c r="C49">
        <v>14</v>
      </c>
      <c r="D49" s="2" t="s">
        <v>181</v>
      </c>
      <c r="E49" s="2" t="s">
        <v>18</v>
      </c>
      <c r="F49" s="2" t="s">
        <v>18</v>
      </c>
      <c r="G49" s="2" t="s">
        <v>36</v>
      </c>
      <c r="H49" s="2" t="s">
        <v>132</v>
      </c>
      <c r="I49" s="2" t="s">
        <v>133</v>
      </c>
      <c r="J49" s="2" t="s">
        <v>168</v>
      </c>
      <c r="K49" t="b">
        <v>0</v>
      </c>
      <c r="L49" s="2" t="s">
        <v>130</v>
      </c>
    </row>
    <row r="50" spans="1:12" hidden="1" x14ac:dyDescent="0.3">
      <c r="A50" s="2" t="s">
        <v>8</v>
      </c>
      <c r="B50" s="2" t="s">
        <v>22</v>
      </c>
      <c r="C50">
        <v>15</v>
      </c>
      <c r="D50" s="2" t="s">
        <v>182</v>
      </c>
      <c r="E50" s="2" t="s">
        <v>49</v>
      </c>
      <c r="F50" s="2" t="s">
        <v>49</v>
      </c>
      <c r="G50" s="2" t="s">
        <v>38</v>
      </c>
      <c r="H50" s="2" t="s">
        <v>158</v>
      </c>
      <c r="I50" s="2" t="s">
        <v>133</v>
      </c>
      <c r="J50" s="2" t="s">
        <v>168</v>
      </c>
      <c r="K50" t="b">
        <v>0</v>
      </c>
      <c r="L50" s="2" t="s">
        <v>130</v>
      </c>
    </row>
    <row r="51" spans="1:12" hidden="1" x14ac:dyDescent="0.3">
      <c r="A51" s="2" t="s">
        <v>8</v>
      </c>
      <c r="B51" s="2" t="s">
        <v>22</v>
      </c>
      <c r="C51">
        <v>16</v>
      </c>
      <c r="D51" s="2" t="s">
        <v>183</v>
      </c>
      <c r="E51" s="2" t="s">
        <v>37</v>
      </c>
      <c r="F51" s="2" t="s">
        <v>37</v>
      </c>
      <c r="G51" s="2" t="s">
        <v>38</v>
      </c>
      <c r="H51" s="2" t="s">
        <v>158</v>
      </c>
      <c r="I51" s="2" t="s">
        <v>133</v>
      </c>
      <c r="J51" s="2" t="s">
        <v>168</v>
      </c>
      <c r="K51" t="b">
        <v>0</v>
      </c>
      <c r="L51" s="2" t="s">
        <v>130</v>
      </c>
    </row>
    <row r="52" spans="1:12" hidden="1" x14ac:dyDescent="0.3">
      <c r="A52" s="2" t="s">
        <v>8</v>
      </c>
      <c r="B52" s="2" t="s">
        <v>22</v>
      </c>
      <c r="C52">
        <v>17</v>
      </c>
      <c r="D52" s="2" t="s">
        <v>184</v>
      </c>
      <c r="E52" s="2" t="s">
        <v>40</v>
      </c>
      <c r="F52" s="2" t="s">
        <v>40</v>
      </c>
      <c r="G52" s="2" t="s">
        <v>38</v>
      </c>
      <c r="H52" s="2" t="s">
        <v>158</v>
      </c>
      <c r="I52" s="2" t="s">
        <v>133</v>
      </c>
      <c r="J52" s="2" t="s">
        <v>168</v>
      </c>
      <c r="K52" t="b">
        <v>0</v>
      </c>
      <c r="L52" s="2" t="s">
        <v>130</v>
      </c>
    </row>
    <row r="53" spans="1:12" hidden="1" x14ac:dyDescent="0.3">
      <c r="A53" s="2" t="s">
        <v>8</v>
      </c>
      <c r="B53" s="2" t="s">
        <v>22</v>
      </c>
      <c r="C53">
        <v>18</v>
      </c>
      <c r="D53" s="2" t="s">
        <v>185</v>
      </c>
      <c r="E53" s="2" t="s">
        <v>41</v>
      </c>
      <c r="F53" s="2" t="s">
        <v>41</v>
      </c>
      <c r="G53" s="2" t="s">
        <v>38</v>
      </c>
      <c r="H53" s="2" t="s">
        <v>158</v>
      </c>
      <c r="I53" s="2" t="s">
        <v>133</v>
      </c>
      <c r="J53" s="2" t="s">
        <v>168</v>
      </c>
      <c r="K53" t="b">
        <v>0</v>
      </c>
      <c r="L53" s="2" t="s">
        <v>130</v>
      </c>
    </row>
    <row r="54" spans="1:12" hidden="1" x14ac:dyDescent="0.3">
      <c r="A54" s="2" t="s">
        <v>8</v>
      </c>
      <c r="B54" s="2" t="s">
        <v>22</v>
      </c>
      <c r="C54">
        <v>19</v>
      </c>
      <c r="D54" s="2" t="s">
        <v>186</v>
      </c>
      <c r="E54" s="2" t="s">
        <v>39</v>
      </c>
      <c r="F54" s="2" t="s">
        <v>39</v>
      </c>
      <c r="G54" s="2" t="s">
        <v>38</v>
      </c>
      <c r="H54" s="2" t="s">
        <v>158</v>
      </c>
      <c r="I54" s="2" t="s">
        <v>133</v>
      </c>
      <c r="J54" s="2" t="s">
        <v>168</v>
      </c>
      <c r="K54" t="b">
        <v>0</v>
      </c>
      <c r="L54" s="2" t="s">
        <v>130</v>
      </c>
    </row>
    <row r="55" spans="1:12" hidden="1" x14ac:dyDescent="0.3">
      <c r="A55" s="2" t="s">
        <v>8</v>
      </c>
      <c r="B55" s="2" t="s">
        <v>22</v>
      </c>
      <c r="C55">
        <v>20</v>
      </c>
      <c r="D55" s="2" t="s">
        <v>187</v>
      </c>
      <c r="E55" s="2" t="s">
        <v>42</v>
      </c>
      <c r="F55" s="2" t="s">
        <v>42</v>
      </c>
      <c r="G55" s="2" t="s">
        <v>46</v>
      </c>
      <c r="H55" s="2" t="s">
        <v>163</v>
      </c>
      <c r="I55" s="2" t="s">
        <v>133</v>
      </c>
      <c r="J55" s="2" t="s">
        <v>168</v>
      </c>
      <c r="K55" t="b">
        <v>0</v>
      </c>
      <c r="L55" s="2" t="s">
        <v>130</v>
      </c>
    </row>
    <row r="56" spans="1:12" hidden="1" x14ac:dyDescent="0.3">
      <c r="A56" s="2" t="s">
        <v>8</v>
      </c>
      <c r="B56" s="2" t="s">
        <v>22</v>
      </c>
      <c r="C56">
        <v>21</v>
      </c>
      <c r="D56" s="2" t="s">
        <v>188</v>
      </c>
      <c r="E56" s="2" t="s">
        <v>43</v>
      </c>
      <c r="F56" s="2" t="s">
        <v>43</v>
      </c>
      <c r="G56" s="2" t="s">
        <v>46</v>
      </c>
      <c r="H56" s="2" t="s">
        <v>163</v>
      </c>
      <c r="I56" s="2" t="s">
        <v>133</v>
      </c>
      <c r="J56" s="2" t="s">
        <v>168</v>
      </c>
      <c r="K56" t="b">
        <v>0</v>
      </c>
      <c r="L56" s="2" t="s">
        <v>130</v>
      </c>
    </row>
    <row r="57" spans="1:12" hidden="1" x14ac:dyDescent="0.3">
      <c r="A57" s="2" t="s">
        <v>8</v>
      </c>
      <c r="B57" s="2" t="s">
        <v>22</v>
      </c>
      <c r="C57">
        <v>22</v>
      </c>
      <c r="D57" s="2" t="s">
        <v>189</v>
      </c>
      <c r="E57" s="2" t="s">
        <v>44</v>
      </c>
      <c r="F57" s="2" t="s">
        <v>44</v>
      </c>
      <c r="G57" s="2" t="s">
        <v>46</v>
      </c>
      <c r="H57" s="2" t="s">
        <v>163</v>
      </c>
      <c r="I57" s="2" t="s">
        <v>133</v>
      </c>
      <c r="J57" s="2" t="s">
        <v>168</v>
      </c>
      <c r="K57" t="b">
        <v>0</v>
      </c>
      <c r="L57" s="2" t="s">
        <v>130</v>
      </c>
    </row>
    <row r="58" spans="1:12" hidden="1" x14ac:dyDescent="0.3">
      <c r="A58" s="2" t="s">
        <v>8</v>
      </c>
      <c r="B58" s="2" t="s">
        <v>22</v>
      </c>
      <c r="C58">
        <v>23</v>
      </c>
      <c r="D58" s="2" t="s">
        <v>190</v>
      </c>
      <c r="E58" s="2" t="s">
        <v>45</v>
      </c>
      <c r="F58" s="2" t="s">
        <v>45</v>
      </c>
      <c r="G58" s="2" t="s">
        <v>46</v>
      </c>
      <c r="H58" s="2" t="s">
        <v>163</v>
      </c>
      <c r="I58" s="2" t="s">
        <v>133</v>
      </c>
      <c r="J58" s="2" t="s">
        <v>168</v>
      </c>
      <c r="K58" t="b">
        <v>0</v>
      </c>
      <c r="L58" s="2" t="s">
        <v>130</v>
      </c>
    </row>
    <row r="59" spans="1:12" x14ac:dyDescent="0.3">
      <c r="A59" s="2" t="s">
        <v>8</v>
      </c>
      <c r="B59" s="2" t="s">
        <v>23</v>
      </c>
      <c r="C59">
        <v>1</v>
      </c>
      <c r="D59" s="2" t="s">
        <v>191</v>
      </c>
      <c r="E59" s="2" t="s">
        <v>21</v>
      </c>
      <c r="F59" s="2" t="s">
        <v>21</v>
      </c>
      <c r="G59" s="2" t="s">
        <v>36</v>
      </c>
      <c r="H59" s="2" t="s">
        <v>132</v>
      </c>
      <c r="I59" s="2" t="s">
        <v>133</v>
      </c>
      <c r="J59" s="2" t="s">
        <v>192</v>
      </c>
      <c r="K59" t="b">
        <v>0</v>
      </c>
      <c r="L59" s="2" t="s">
        <v>130</v>
      </c>
    </row>
    <row r="60" spans="1:12" x14ac:dyDescent="0.3">
      <c r="A60" s="2" t="s">
        <v>8</v>
      </c>
      <c r="B60" s="2" t="s">
        <v>23</v>
      </c>
      <c r="C60">
        <v>2</v>
      </c>
      <c r="D60" s="2" t="s">
        <v>193</v>
      </c>
      <c r="E60" s="2" t="s">
        <v>28</v>
      </c>
      <c r="F60" s="2" t="s">
        <v>28</v>
      </c>
      <c r="G60" s="2" t="s">
        <v>36</v>
      </c>
      <c r="H60" s="2" t="s">
        <v>132</v>
      </c>
      <c r="I60" s="2" t="s">
        <v>133</v>
      </c>
      <c r="J60" s="2" t="s">
        <v>192</v>
      </c>
      <c r="K60" t="b">
        <v>0</v>
      </c>
      <c r="L60" s="2" t="s">
        <v>130</v>
      </c>
    </row>
    <row r="61" spans="1:12" x14ac:dyDescent="0.3">
      <c r="A61" s="2" t="s">
        <v>8</v>
      </c>
      <c r="B61" s="2" t="s">
        <v>23</v>
      </c>
      <c r="C61">
        <v>3</v>
      </c>
      <c r="D61" s="2" t="s">
        <v>194</v>
      </c>
      <c r="E61" s="2" t="s">
        <v>30</v>
      </c>
      <c r="F61" s="2" t="s">
        <v>30</v>
      </c>
      <c r="G61" s="2" t="s">
        <v>36</v>
      </c>
      <c r="H61" s="2" t="s">
        <v>132</v>
      </c>
      <c r="I61" s="2" t="s">
        <v>133</v>
      </c>
      <c r="J61" s="2" t="s">
        <v>192</v>
      </c>
      <c r="K61" t="b">
        <v>0</v>
      </c>
      <c r="L61" s="2" t="s">
        <v>130</v>
      </c>
    </row>
    <row r="62" spans="1:12" x14ac:dyDescent="0.3">
      <c r="A62" s="2" t="s">
        <v>8</v>
      </c>
      <c r="B62" s="2" t="s">
        <v>23</v>
      </c>
      <c r="C62">
        <v>4</v>
      </c>
      <c r="D62" s="2" t="s">
        <v>195</v>
      </c>
      <c r="E62" s="2" t="s">
        <v>51</v>
      </c>
      <c r="F62" s="2" t="s">
        <v>51</v>
      </c>
      <c r="G62" s="2" t="s">
        <v>36</v>
      </c>
      <c r="H62" s="2" t="s">
        <v>132</v>
      </c>
      <c r="I62" s="2" t="s">
        <v>133</v>
      </c>
      <c r="J62" s="2" t="s">
        <v>192</v>
      </c>
      <c r="K62" t="b">
        <v>0</v>
      </c>
      <c r="L62" s="2" t="s">
        <v>130</v>
      </c>
    </row>
    <row r="63" spans="1:12" x14ac:dyDescent="0.3">
      <c r="A63" s="2" t="s">
        <v>8</v>
      </c>
      <c r="B63" s="2" t="s">
        <v>23</v>
      </c>
      <c r="C63">
        <v>5</v>
      </c>
      <c r="D63" s="2" t="s">
        <v>196</v>
      </c>
      <c r="E63" s="2" t="s">
        <v>32</v>
      </c>
      <c r="F63" s="2" t="s">
        <v>32</v>
      </c>
      <c r="G63" s="2" t="s">
        <v>36</v>
      </c>
      <c r="H63" s="2" t="s">
        <v>132</v>
      </c>
      <c r="I63" s="2" t="s">
        <v>133</v>
      </c>
      <c r="J63" s="2" t="s">
        <v>192</v>
      </c>
      <c r="K63" t="b">
        <v>0</v>
      </c>
      <c r="L63" s="2" t="s">
        <v>130</v>
      </c>
    </row>
    <row r="64" spans="1:12" x14ac:dyDescent="0.3">
      <c r="A64" s="2" t="s">
        <v>8</v>
      </c>
      <c r="B64" s="2" t="s">
        <v>23</v>
      </c>
      <c r="C64">
        <v>6</v>
      </c>
      <c r="D64" s="2" t="s">
        <v>197</v>
      </c>
      <c r="E64" s="2" t="s">
        <v>48</v>
      </c>
      <c r="F64" s="2" t="s">
        <v>48</v>
      </c>
      <c r="G64" s="2" t="s">
        <v>36</v>
      </c>
      <c r="H64" s="2" t="s">
        <v>132</v>
      </c>
      <c r="I64" s="2" t="s">
        <v>133</v>
      </c>
      <c r="J64" s="2" t="s">
        <v>192</v>
      </c>
      <c r="K64" t="b">
        <v>0</v>
      </c>
      <c r="L64" s="2" t="s">
        <v>130</v>
      </c>
    </row>
    <row r="65" spans="1:12" x14ac:dyDescent="0.3">
      <c r="A65" s="2" t="s">
        <v>8</v>
      </c>
      <c r="B65" s="2" t="s">
        <v>23</v>
      </c>
      <c r="C65">
        <v>7</v>
      </c>
      <c r="D65" s="2" t="s">
        <v>198</v>
      </c>
      <c r="E65" s="2" t="s">
        <v>7</v>
      </c>
      <c r="F65" s="2" t="s">
        <v>7</v>
      </c>
      <c r="G65" s="2" t="s">
        <v>36</v>
      </c>
      <c r="H65" s="2" t="s">
        <v>132</v>
      </c>
      <c r="I65" s="2" t="s">
        <v>133</v>
      </c>
      <c r="J65" s="2" t="s">
        <v>192</v>
      </c>
      <c r="K65" t="b">
        <v>0</v>
      </c>
      <c r="L65" s="2" t="s">
        <v>130</v>
      </c>
    </row>
    <row r="66" spans="1:12" x14ac:dyDescent="0.3">
      <c r="A66" s="2" t="s">
        <v>8</v>
      </c>
      <c r="B66" s="2" t="s">
        <v>23</v>
      </c>
      <c r="C66">
        <v>8</v>
      </c>
      <c r="D66" s="2" t="s">
        <v>199</v>
      </c>
      <c r="E66" s="2" t="s">
        <v>31</v>
      </c>
      <c r="F66" s="2" t="s">
        <v>31</v>
      </c>
      <c r="G66" s="2" t="s">
        <v>36</v>
      </c>
      <c r="H66" s="2" t="s">
        <v>132</v>
      </c>
      <c r="I66" s="2" t="s">
        <v>133</v>
      </c>
      <c r="J66" s="2" t="s">
        <v>192</v>
      </c>
      <c r="K66" t="b">
        <v>0</v>
      </c>
      <c r="L66" s="2" t="s">
        <v>130</v>
      </c>
    </row>
    <row r="67" spans="1:12" x14ac:dyDescent="0.3">
      <c r="A67" s="2" t="s">
        <v>8</v>
      </c>
      <c r="B67" s="2" t="s">
        <v>23</v>
      </c>
      <c r="C67">
        <v>9</v>
      </c>
      <c r="D67" s="2" t="s">
        <v>200</v>
      </c>
      <c r="E67" s="2" t="s">
        <v>33</v>
      </c>
      <c r="F67" s="2" t="s">
        <v>33</v>
      </c>
      <c r="G67" s="2" t="s">
        <v>36</v>
      </c>
      <c r="H67" s="2" t="s">
        <v>132</v>
      </c>
      <c r="I67" s="2" t="s">
        <v>133</v>
      </c>
      <c r="J67" s="2" t="s">
        <v>192</v>
      </c>
      <c r="K67" t="b">
        <v>0</v>
      </c>
      <c r="L67" s="2" t="s">
        <v>130</v>
      </c>
    </row>
    <row r="68" spans="1:12" x14ac:dyDescent="0.3">
      <c r="A68" s="2" t="s">
        <v>8</v>
      </c>
      <c r="B68" s="2" t="s">
        <v>23</v>
      </c>
      <c r="C68">
        <v>10</v>
      </c>
      <c r="D68" s="2" t="s">
        <v>201</v>
      </c>
      <c r="E68" s="2" t="s">
        <v>50</v>
      </c>
      <c r="F68" s="2" t="s">
        <v>50</v>
      </c>
      <c r="G68" s="2" t="s">
        <v>36</v>
      </c>
      <c r="H68" s="2" t="s">
        <v>132</v>
      </c>
      <c r="I68" s="2" t="s">
        <v>133</v>
      </c>
      <c r="J68" s="2" t="s">
        <v>192</v>
      </c>
      <c r="K68" t="b">
        <v>0</v>
      </c>
      <c r="L68" s="2" t="s">
        <v>130</v>
      </c>
    </row>
    <row r="69" spans="1:12" x14ac:dyDescent="0.3">
      <c r="A69" s="2" t="s">
        <v>8</v>
      </c>
      <c r="B69" s="2" t="s">
        <v>23</v>
      </c>
      <c r="C69">
        <v>11</v>
      </c>
      <c r="D69" s="2" t="s">
        <v>202</v>
      </c>
      <c r="E69" s="2" t="s">
        <v>17</v>
      </c>
      <c r="F69" s="2" t="s">
        <v>17</v>
      </c>
      <c r="G69" s="2" t="s">
        <v>36</v>
      </c>
      <c r="H69" s="2" t="s">
        <v>132</v>
      </c>
      <c r="I69" s="2" t="s">
        <v>133</v>
      </c>
      <c r="J69" s="2" t="s">
        <v>192</v>
      </c>
      <c r="K69" t="b">
        <v>0</v>
      </c>
      <c r="L69" s="2" t="s">
        <v>130</v>
      </c>
    </row>
    <row r="70" spans="1:12" x14ac:dyDescent="0.3">
      <c r="A70" s="2" t="s">
        <v>8</v>
      </c>
      <c r="B70" s="2" t="s">
        <v>23</v>
      </c>
      <c r="C70">
        <v>12</v>
      </c>
      <c r="D70" s="2" t="s">
        <v>203</v>
      </c>
      <c r="E70" s="2" t="s">
        <v>11</v>
      </c>
      <c r="F70" s="2" t="s">
        <v>11</v>
      </c>
      <c r="G70" s="2" t="s">
        <v>36</v>
      </c>
      <c r="H70" s="2" t="s">
        <v>132</v>
      </c>
      <c r="I70" s="2" t="s">
        <v>133</v>
      </c>
      <c r="J70" s="2" t="s">
        <v>192</v>
      </c>
      <c r="K70" t="b">
        <v>0</v>
      </c>
      <c r="L70" s="2" t="s">
        <v>130</v>
      </c>
    </row>
    <row r="71" spans="1:12" x14ac:dyDescent="0.3">
      <c r="A71" s="2" t="s">
        <v>8</v>
      </c>
      <c r="B71" s="2" t="s">
        <v>23</v>
      </c>
      <c r="C71">
        <v>13</v>
      </c>
      <c r="D71" s="2" t="s">
        <v>204</v>
      </c>
      <c r="E71" s="2" t="s">
        <v>14</v>
      </c>
      <c r="F71" s="2" t="s">
        <v>146</v>
      </c>
      <c r="G71" s="2" t="s">
        <v>36</v>
      </c>
      <c r="H71" s="2" t="s">
        <v>132</v>
      </c>
      <c r="I71" s="2" t="s">
        <v>133</v>
      </c>
      <c r="J71" s="2" t="s">
        <v>192</v>
      </c>
      <c r="K71" t="b">
        <v>1</v>
      </c>
      <c r="L71" s="2" t="s">
        <v>130</v>
      </c>
    </row>
    <row r="72" spans="1:12" x14ac:dyDescent="0.3">
      <c r="A72" s="2" t="s">
        <v>8</v>
      </c>
      <c r="B72" s="2" t="s">
        <v>23</v>
      </c>
      <c r="C72">
        <v>14</v>
      </c>
      <c r="D72" s="2" t="s">
        <v>205</v>
      </c>
      <c r="E72" s="2" t="s">
        <v>25</v>
      </c>
      <c r="F72" s="2" t="s">
        <v>25</v>
      </c>
      <c r="G72" s="2" t="s">
        <v>36</v>
      </c>
      <c r="H72" s="2" t="s">
        <v>132</v>
      </c>
      <c r="I72" s="2" t="s">
        <v>133</v>
      </c>
      <c r="J72" s="2" t="s">
        <v>192</v>
      </c>
      <c r="K72" t="b">
        <v>0</v>
      </c>
      <c r="L72" s="2" t="s">
        <v>130</v>
      </c>
    </row>
    <row r="73" spans="1:12" x14ac:dyDescent="0.3">
      <c r="A73" s="2" t="s">
        <v>8</v>
      </c>
      <c r="B73" s="2" t="s">
        <v>23</v>
      </c>
      <c r="C73">
        <v>15</v>
      </c>
      <c r="D73" s="2" t="s">
        <v>206</v>
      </c>
      <c r="E73" s="2" t="s">
        <v>26</v>
      </c>
      <c r="F73" s="2" t="s">
        <v>26</v>
      </c>
      <c r="G73" s="2" t="s">
        <v>36</v>
      </c>
      <c r="H73" s="2" t="s">
        <v>132</v>
      </c>
      <c r="I73" s="2" t="s">
        <v>133</v>
      </c>
      <c r="J73" s="2" t="s">
        <v>192</v>
      </c>
      <c r="K73" t="b">
        <v>0</v>
      </c>
      <c r="L73" s="2" t="s">
        <v>130</v>
      </c>
    </row>
    <row r="74" spans="1:12" x14ac:dyDescent="0.3">
      <c r="A74" s="2" t="s">
        <v>8</v>
      </c>
      <c r="B74" s="2" t="s">
        <v>23</v>
      </c>
      <c r="C74">
        <v>16</v>
      </c>
      <c r="D74" s="2" t="s">
        <v>207</v>
      </c>
      <c r="E74" s="2" t="s">
        <v>27</v>
      </c>
      <c r="F74" s="2" t="s">
        <v>27</v>
      </c>
      <c r="G74" s="2" t="s">
        <v>36</v>
      </c>
      <c r="H74" s="2" t="s">
        <v>132</v>
      </c>
      <c r="I74" s="2" t="s">
        <v>133</v>
      </c>
      <c r="J74" s="2" t="s">
        <v>192</v>
      </c>
      <c r="K74" t="b">
        <v>0</v>
      </c>
      <c r="L74" s="2" t="s">
        <v>130</v>
      </c>
    </row>
    <row r="75" spans="1:12" x14ac:dyDescent="0.3">
      <c r="A75" s="2" t="s">
        <v>8</v>
      </c>
      <c r="B75" s="2" t="s">
        <v>23</v>
      </c>
      <c r="C75">
        <v>17</v>
      </c>
      <c r="D75" s="2" t="s">
        <v>208</v>
      </c>
      <c r="E75" s="2" t="s">
        <v>47</v>
      </c>
      <c r="F75" s="2" t="s">
        <v>47</v>
      </c>
      <c r="G75" s="2" t="s">
        <v>36</v>
      </c>
      <c r="H75" s="2" t="s">
        <v>132</v>
      </c>
      <c r="I75" s="2" t="s">
        <v>133</v>
      </c>
      <c r="J75" s="2" t="s">
        <v>192</v>
      </c>
      <c r="K75" t="b">
        <v>0</v>
      </c>
      <c r="L75" s="2" t="s">
        <v>130</v>
      </c>
    </row>
    <row r="76" spans="1:12" x14ac:dyDescent="0.3">
      <c r="A76" s="2" t="s">
        <v>8</v>
      </c>
      <c r="B76" s="2" t="s">
        <v>23</v>
      </c>
      <c r="C76">
        <v>18</v>
      </c>
      <c r="D76" s="2" t="s">
        <v>209</v>
      </c>
      <c r="E76" s="2" t="s">
        <v>24</v>
      </c>
      <c r="F76" s="2" t="s">
        <v>24</v>
      </c>
      <c r="G76" s="2" t="s">
        <v>36</v>
      </c>
      <c r="H76" s="2" t="s">
        <v>132</v>
      </c>
      <c r="I76" s="2" t="s">
        <v>133</v>
      </c>
      <c r="J76" s="2" t="s">
        <v>192</v>
      </c>
      <c r="K76" t="b">
        <v>0</v>
      </c>
      <c r="L76" s="2" t="s">
        <v>130</v>
      </c>
    </row>
    <row r="77" spans="1:12" x14ac:dyDescent="0.3">
      <c r="A77" s="2" t="s">
        <v>8</v>
      </c>
      <c r="B77" s="2" t="s">
        <v>23</v>
      </c>
      <c r="C77">
        <v>19</v>
      </c>
      <c r="D77" s="2" t="s">
        <v>210</v>
      </c>
      <c r="E77" s="2" t="s">
        <v>19</v>
      </c>
      <c r="F77" s="2" t="s">
        <v>19</v>
      </c>
      <c r="G77" s="2" t="s">
        <v>36</v>
      </c>
      <c r="H77" s="2" t="s">
        <v>132</v>
      </c>
      <c r="I77" s="2" t="s">
        <v>133</v>
      </c>
      <c r="J77" s="2" t="s">
        <v>192</v>
      </c>
      <c r="K77" t="b">
        <v>0</v>
      </c>
      <c r="L77" s="2" t="s">
        <v>130</v>
      </c>
    </row>
    <row r="78" spans="1:12" x14ac:dyDescent="0.3">
      <c r="A78" s="2" t="s">
        <v>8</v>
      </c>
      <c r="B78" s="2" t="s">
        <v>23</v>
      </c>
      <c r="C78">
        <v>20</v>
      </c>
      <c r="D78" s="2" t="s">
        <v>211</v>
      </c>
      <c r="E78" s="2" t="s">
        <v>13</v>
      </c>
      <c r="F78" s="2" t="s">
        <v>13</v>
      </c>
      <c r="G78" s="2" t="s">
        <v>36</v>
      </c>
      <c r="H78" s="2" t="s">
        <v>132</v>
      </c>
      <c r="I78" s="2" t="s">
        <v>133</v>
      </c>
      <c r="J78" s="2" t="s">
        <v>192</v>
      </c>
      <c r="K78" t="b">
        <v>0</v>
      </c>
      <c r="L78" s="2" t="s">
        <v>130</v>
      </c>
    </row>
    <row r="79" spans="1:12" x14ac:dyDescent="0.3">
      <c r="A79" s="2" t="s">
        <v>8</v>
      </c>
      <c r="B79" s="2" t="s">
        <v>23</v>
      </c>
      <c r="C79">
        <v>21</v>
      </c>
      <c r="D79" s="2" t="s">
        <v>212</v>
      </c>
      <c r="E79" s="2" t="s">
        <v>16</v>
      </c>
      <c r="F79" s="2" t="s">
        <v>155</v>
      </c>
      <c r="G79" s="2" t="s">
        <v>36</v>
      </c>
      <c r="H79" s="2" t="s">
        <v>132</v>
      </c>
      <c r="I79" s="2" t="s">
        <v>133</v>
      </c>
      <c r="J79" s="2" t="s">
        <v>192</v>
      </c>
      <c r="K79" t="b">
        <v>1</v>
      </c>
      <c r="L79" s="2" t="s">
        <v>130</v>
      </c>
    </row>
    <row r="80" spans="1:12" x14ac:dyDescent="0.3">
      <c r="A80" s="2" t="s">
        <v>8</v>
      </c>
      <c r="B80" s="2" t="s">
        <v>23</v>
      </c>
      <c r="C80">
        <v>22</v>
      </c>
      <c r="D80" s="2" t="s">
        <v>213</v>
      </c>
      <c r="E80" s="2" t="s">
        <v>18</v>
      </c>
      <c r="F80" s="2" t="s">
        <v>18</v>
      </c>
      <c r="G80" s="2" t="s">
        <v>36</v>
      </c>
      <c r="H80" s="2" t="s">
        <v>132</v>
      </c>
      <c r="I80" s="2" t="s">
        <v>133</v>
      </c>
      <c r="J80" s="2" t="s">
        <v>192</v>
      </c>
      <c r="K80" t="b">
        <v>0</v>
      </c>
      <c r="L80" s="2" t="s">
        <v>130</v>
      </c>
    </row>
    <row r="81" spans="1:12" x14ac:dyDescent="0.3">
      <c r="A81" s="2" t="s">
        <v>8</v>
      </c>
      <c r="B81" s="2" t="s">
        <v>23</v>
      </c>
      <c r="C81">
        <v>23</v>
      </c>
      <c r="D81" s="2" t="s">
        <v>214</v>
      </c>
      <c r="E81" s="2" t="s">
        <v>49</v>
      </c>
      <c r="F81" s="2" t="s">
        <v>49</v>
      </c>
      <c r="G81" s="2" t="s">
        <v>38</v>
      </c>
      <c r="H81" s="2" t="s">
        <v>158</v>
      </c>
      <c r="I81" s="2" t="s">
        <v>133</v>
      </c>
      <c r="J81" s="2" t="s">
        <v>192</v>
      </c>
      <c r="K81" t="b">
        <v>0</v>
      </c>
      <c r="L81" s="2" t="s">
        <v>130</v>
      </c>
    </row>
    <row r="82" spans="1:12" x14ac:dyDescent="0.3">
      <c r="A82" s="2" t="s">
        <v>8</v>
      </c>
      <c r="B82" s="2" t="s">
        <v>23</v>
      </c>
      <c r="C82">
        <v>24</v>
      </c>
      <c r="D82" s="2" t="s">
        <v>215</v>
      </c>
      <c r="E82" s="2" t="s">
        <v>37</v>
      </c>
      <c r="F82" s="2" t="s">
        <v>37</v>
      </c>
      <c r="G82" s="2" t="s">
        <v>38</v>
      </c>
      <c r="H82" s="2" t="s">
        <v>158</v>
      </c>
      <c r="I82" s="2" t="s">
        <v>133</v>
      </c>
      <c r="J82" s="2" t="s">
        <v>192</v>
      </c>
      <c r="K82" t="b">
        <v>0</v>
      </c>
      <c r="L82" s="2" t="s">
        <v>130</v>
      </c>
    </row>
    <row r="83" spans="1:12" x14ac:dyDescent="0.3">
      <c r="A83" s="2" t="s">
        <v>8</v>
      </c>
      <c r="B83" s="2" t="s">
        <v>23</v>
      </c>
      <c r="C83">
        <v>25</v>
      </c>
      <c r="D83" s="2" t="s">
        <v>216</v>
      </c>
      <c r="E83" s="2" t="s">
        <v>40</v>
      </c>
      <c r="F83" s="2" t="s">
        <v>40</v>
      </c>
      <c r="G83" s="2" t="s">
        <v>38</v>
      </c>
      <c r="H83" s="2" t="s">
        <v>158</v>
      </c>
      <c r="I83" s="2" t="s">
        <v>133</v>
      </c>
      <c r="J83" s="2" t="s">
        <v>192</v>
      </c>
      <c r="K83" t="b">
        <v>0</v>
      </c>
      <c r="L83" s="2" t="s">
        <v>130</v>
      </c>
    </row>
    <row r="84" spans="1:12" x14ac:dyDescent="0.3">
      <c r="A84" s="2" t="s">
        <v>8</v>
      </c>
      <c r="B84" s="2" t="s">
        <v>23</v>
      </c>
      <c r="C84">
        <v>26</v>
      </c>
      <c r="D84" s="2" t="s">
        <v>217</v>
      </c>
      <c r="E84" s="2" t="s">
        <v>41</v>
      </c>
      <c r="F84" s="2" t="s">
        <v>41</v>
      </c>
      <c r="G84" s="2" t="s">
        <v>38</v>
      </c>
      <c r="H84" s="2" t="s">
        <v>158</v>
      </c>
      <c r="I84" s="2" t="s">
        <v>133</v>
      </c>
      <c r="J84" s="2" t="s">
        <v>192</v>
      </c>
      <c r="K84" t="b">
        <v>0</v>
      </c>
      <c r="L84" s="2" t="s">
        <v>130</v>
      </c>
    </row>
    <row r="85" spans="1:12" x14ac:dyDescent="0.3">
      <c r="A85" s="2" t="s">
        <v>8</v>
      </c>
      <c r="B85" s="2" t="s">
        <v>23</v>
      </c>
      <c r="C85">
        <v>27</v>
      </c>
      <c r="D85" s="2" t="s">
        <v>218</v>
      </c>
      <c r="E85" s="2" t="s">
        <v>39</v>
      </c>
      <c r="F85" s="2" t="s">
        <v>39</v>
      </c>
      <c r="G85" s="2" t="s">
        <v>38</v>
      </c>
      <c r="H85" s="2" t="s">
        <v>158</v>
      </c>
      <c r="I85" s="2" t="s">
        <v>133</v>
      </c>
      <c r="J85" s="2" t="s">
        <v>192</v>
      </c>
      <c r="K85" t="b">
        <v>0</v>
      </c>
      <c r="L85" s="2" t="s">
        <v>130</v>
      </c>
    </row>
    <row r="86" spans="1:12" x14ac:dyDescent="0.3">
      <c r="A86" s="2" t="s">
        <v>8</v>
      </c>
      <c r="B86" s="2" t="s">
        <v>23</v>
      </c>
      <c r="C86">
        <v>28</v>
      </c>
      <c r="D86" s="2" t="s">
        <v>219</v>
      </c>
      <c r="E86" s="2" t="s">
        <v>42</v>
      </c>
      <c r="F86" s="2" t="s">
        <v>42</v>
      </c>
      <c r="G86" s="2" t="s">
        <v>46</v>
      </c>
      <c r="H86" s="2" t="s">
        <v>163</v>
      </c>
      <c r="I86" s="2" t="s">
        <v>133</v>
      </c>
      <c r="J86" s="2" t="s">
        <v>192</v>
      </c>
      <c r="K86" t="b">
        <v>0</v>
      </c>
      <c r="L86" s="2" t="s">
        <v>130</v>
      </c>
    </row>
    <row r="87" spans="1:12" x14ac:dyDescent="0.3">
      <c r="A87" s="2" t="s">
        <v>8</v>
      </c>
      <c r="B87" s="2" t="s">
        <v>23</v>
      </c>
      <c r="C87">
        <v>29</v>
      </c>
      <c r="D87" s="2" t="s">
        <v>220</v>
      </c>
      <c r="E87" s="2" t="s">
        <v>43</v>
      </c>
      <c r="F87" s="2" t="s">
        <v>43</v>
      </c>
      <c r="G87" s="2" t="s">
        <v>46</v>
      </c>
      <c r="H87" s="2" t="s">
        <v>163</v>
      </c>
      <c r="I87" s="2" t="s">
        <v>133</v>
      </c>
      <c r="J87" s="2" t="s">
        <v>192</v>
      </c>
      <c r="K87" t="b">
        <v>0</v>
      </c>
      <c r="L87" s="2" t="s">
        <v>130</v>
      </c>
    </row>
    <row r="88" spans="1:12" x14ac:dyDescent="0.3">
      <c r="A88" s="2" t="s">
        <v>8</v>
      </c>
      <c r="B88" s="2" t="s">
        <v>23</v>
      </c>
      <c r="C88">
        <v>30</v>
      </c>
      <c r="D88" s="2" t="s">
        <v>221</v>
      </c>
      <c r="E88" s="2" t="s">
        <v>44</v>
      </c>
      <c r="F88" s="2" t="s">
        <v>44</v>
      </c>
      <c r="G88" s="2" t="s">
        <v>46</v>
      </c>
      <c r="H88" s="2" t="s">
        <v>163</v>
      </c>
      <c r="I88" s="2" t="s">
        <v>133</v>
      </c>
      <c r="J88" s="2" t="s">
        <v>192</v>
      </c>
      <c r="K88" t="b">
        <v>0</v>
      </c>
      <c r="L88" s="2" t="s">
        <v>130</v>
      </c>
    </row>
    <row r="89" spans="1:12" x14ac:dyDescent="0.3">
      <c r="A89" s="2" t="s">
        <v>8</v>
      </c>
      <c r="B89" s="2" t="s">
        <v>23</v>
      </c>
      <c r="C89">
        <v>31</v>
      </c>
      <c r="D89" s="2" t="s">
        <v>222</v>
      </c>
      <c r="E89" s="2" t="s">
        <v>45</v>
      </c>
      <c r="F89" s="2" t="s">
        <v>45</v>
      </c>
      <c r="G89" s="2" t="s">
        <v>46</v>
      </c>
      <c r="H89" s="2" t="s">
        <v>163</v>
      </c>
      <c r="I89" s="2" t="s">
        <v>133</v>
      </c>
      <c r="J89" s="2" t="s">
        <v>192</v>
      </c>
      <c r="K89" t="b">
        <v>0</v>
      </c>
      <c r="L89" s="2" t="s">
        <v>130</v>
      </c>
    </row>
    <row r="90" spans="1:12" hidden="1" x14ac:dyDescent="0.3">
      <c r="A90" s="2" t="s">
        <v>8</v>
      </c>
      <c r="B90" s="2" t="s">
        <v>223</v>
      </c>
      <c r="C90">
        <v>1</v>
      </c>
      <c r="D90" s="2" t="s">
        <v>224</v>
      </c>
      <c r="E90" s="2" t="s">
        <v>56</v>
      </c>
      <c r="F90" s="2" t="s">
        <v>225</v>
      </c>
      <c r="G90" s="2" t="s">
        <v>36</v>
      </c>
      <c r="H90" s="2" t="s">
        <v>132</v>
      </c>
      <c r="I90" s="2" t="s">
        <v>133</v>
      </c>
      <c r="J90" s="2" t="s">
        <v>226</v>
      </c>
      <c r="K90" t="b">
        <v>1</v>
      </c>
      <c r="L90" s="2" t="s">
        <v>130</v>
      </c>
    </row>
    <row r="91" spans="1:12" hidden="1" x14ac:dyDescent="0.3">
      <c r="A91" s="2" t="s">
        <v>8</v>
      </c>
      <c r="B91" s="2" t="s">
        <v>223</v>
      </c>
      <c r="C91">
        <v>2</v>
      </c>
      <c r="D91" s="2" t="s">
        <v>227</v>
      </c>
      <c r="E91" s="2" t="s">
        <v>71</v>
      </c>
      <c r="F91" s="2" t="s">
        <v>228</v>
      </c>
      <c r="G91" s="2" t="s">
        <v>36</v>
      </c>
      <c r="H91" s="2" t="s">
        <v>132</v>
      </c>
      <c r="I91" s="2" t="s">
        <v>133</v>
      </c>
      <c r="J91" s="2" t="s">
        <v>226</v>
      </c>
      <c r="K91" t="b">
        <v>1</v>
      </c>
      <c r="L91" s="2" t="s">
        <v>130</v>
      </c>
    </row>
    <row r="92" spans="1:12" hidden="1" x14ac:dyDescent="0.3">
      <c r="A92" s="2" t="s">
        <v>8</v>
      </c>
      <c r="B92" s="2" t="s">
        <v>223</v>
      </c>
      <c r="C92">
        <v>3</v>
      </c>
      <c r="D92" s="2" t="s">
        <v>229</v>
      </c>
      <c r="E92" s="2" t="s">
        <v>28</v>
      </c>
      <c r="F92" s="2" t="s">
        <v>28</v>
      </c>
      <c r="G92" s="2" t="s">
        <v>36</v>
      </c>
      <c r="H92" s="2" t="s">
        <v>132</v>
      </c>
      <c r="I92" s="2" t="s">
        <v>133</v>
      </c>
      <c r="J92" s="2" t="s">
        <v>226</v>
      </c>
      <c r="K92" t="b">
        <v>0</v>
      </c>
      <c r="L92" s="2" t="s">
        <v>130</v>
      </c>
    </row>
    <row r="93" spans="1:12" hidden="1" x14ac:dyDescent="0.3">
      <c r="A93" s="2" t="s">
        <v>8</v>
      </c>
      <c r="B93" s="2" t="s">
        <v>223</v>
      </c>
      <c r="C93">
        <v>4</v>
      </c>
      <c r="D93" s="2" t="s">
        <v>230</v>
      </c>
      <c r="E93" s="2" t="s">
        <v>30</v>
      </c>
      <c r="F93" s="2" t="s">
        <v>30</v>
      </c>
      <c r="G93" s="2" t="s">
        <v>36</v>
      </c>
      <c r="H93" s="2" t="s">
        <v>132</v>
      </c>
      <c r="I93" s="2" t="s">
        <v>133</v>
      </c>
      <c r="J93" s="2" t="s">
        <v>226</v>
      </c>
      <c r="K93" t="b">
        <v>0</v>
      </c>
      <c r="L93" s="2" t="s">
        <v>130</v>
      </c>
    </row>
    <row r="94" spans="1:12" hidden="1" x14ac:dyDescent="0.3">
      <c r="A94" s="2" t="s">
        <v>8</v>
      </c>
      <c r="B94" s="2" t="s">
        <v>223</v>
      </c>
      <c r="C94">
        <v>5</v>
      </c>
      <c r="D94" s="2" t="s">
        <v>231</v>
      </c>
      <c r="E94" s="2" t="s">
        <v>51</v>
      </c>
      <c r="F94" s="2" t="s">
        <v>51</v>
      </c>
      <c r="G94" s="2" t="s">
        <v>36</v>
      </c>
      <c r="H94" s="2" t="s">
        <v>132</v>
      </c>
      <c r="I94" s="2" t="s">
        <v>133</v>
      </c>
      <c r="J94" s="2" t="s">
        <v>226</v>
      </c>
      <c r="K94" t="b">
        <v>0</v>
      </c>
      <c r="L94" s="2" t="s">
        <v>130</v>
      </c>
    </row>
    <row r="95" spans="1:12" hidden="1" x14ac:dyDescent="0.3">
      <c r="A95" s="2" t="s">
        <v>8</v>
      </c>
      <c r="B95" s="2" t="s">
        <v>223</v>
      </c>
      <c r="C95">
        <v>6</v>
      </c>
      <c r="D95" s="2" t="s">
        <v>232</v>
      </c>
      <c r="E95" s="2" t="s">
        <v>70</v>
      </c>
      <c r="F95" s="2" t="s">
        <v>70</v>
      </c>
      <c r="G95" s="2" t="s">
        <v>36</v>
      </c>
      <c r="H95" s="2" t="s">
        <v>132</v>
      </c>
      <c r="I95" s="2" t="s">
        <v>133</v>
      </c>
      <c r="J95" s="2" t="s">
        <v>226</v>
      </c>
      <c r="K95" t="b">
        <v>0</v>
      </c>
      <c r="L95" s="2" t="s">
        <v>130</v>
      </c>
    </row>
    <row r="96" spans="1:12" hidden="1" x14ac:dyDescent="0.3">
      <c r="A96" s="2" t="s">
        <v>8</v>
      </c>
      <c r="B96" s="2" t="s">
        <v>223</v>
      </c>
      <c r="C96">
        <v>7</v>
      </c>
      <c r="D96" s="2" t="s">
        <v>233</v>
      </c>
      <c r="E96" s="2" t="s">
        <v>48</v>
      </c>
      <c r="F96" s="2" t="s">
        <v>48</v>
      </c>
      <c r="G96" s="2" t="s">
        <v>36</v>
      </c>
      <c r="H96" s="2" t="s">
        <v>132</v>
      </c>
      <c r="I96" s="2" t="s">
        <v>133</v>
      </c>
      <c r="J96" s="2" t="s">
        <v>226</v>
      </c>
      <c r="K96" t="b">
        <v>0</v>
      </c>
      <c r="L96" s="2" t="s">
        <v>130</v>
      </c>
    </row>
    <row r="97" spans="1:12" hidden="1" x14ac:dyDescent="0.3">
      <c r="A97" s="2" t="s">
        <v>8</v>
      </c>
      <c r="B97" s="2" t="s">
        <v>223</v>
      </c>
      <c r="C97">
        <v>8</v>
      </c>
      <c r="D97" s="2" t="s">
        <v>234</v>
      </c>
      <c r="E97" s="2" t="s">
        <v>7</v>
      </c>
      <c r="F97" s="2" t="s">
        <v>7</v>
      </c>
      <c r="G97" s="2" t="s">
        <v>36</v>
      </c>
      <c r="H97" s="2" t="s">
        <v>132</v>
      </c>
      <c r="I97" s="2" t="s">
        <v>133</v>
      </c>
      <c r="J97" s="2" t="s">
        <v>226</v>
      </c>
      <c r="K97" t="b">
        <v>0</v>
      </c>
      <c r="L97" s="2" t="s">
        <v>130</v>
      </c>
    </row>
    <row r="98" spans="1:12" hidden="1" x14ac:dyDescent="0.3">
      <c r="A98" s="2" t="s">
        <v>8</v>
      </c>
      <c r="B98" s="2" t="s">
        <v>223</v>
      </c>
      <c r="C98">
        <v>9</v>
      </c>
      <c r="D98" s="2" t="s">
        <v>235</v>
      </c>
      <c r="E98" s="2" t="s">
        <v>31</v>
      </c>
      <c r="F98" s="2" t="s">
        <v>31</v>
      </c>
      <c r="G98" s="2" t="s">
        <v>36</v>
      </c>
      <c r="H98" s="2" t="s">
        <v>132</v>
      </c>
      <c r="I98" s="2" t="s">
        <v>133</v>
      </c>
      <c r="J98" s="2" t="s">
        <v>226</v>
      </c>
      <c r="K98" t="b">
        <v>0</v>
      </c>
      <c r="L98" s="2" t="s">
        <v>130</v>
      </c>
    </row>
    <row r="99" spans="1:12" hidden="1" x14ac:dyDescent="0.3">
      <c r="A99" s="2" t="s">
        <v>8</v>
      </c>
      <c r="B99" s="2" t="s">
        <v>223</v>
      </c>
      <c r="C99">
        <v>10</v>
      </c>
      <c r="D99" s="2" t="s">
        <v>236</v>
      </c>
      <c r="E99" s="2" t="s">
        <v>33</v>
      </c>
      <c r="F99" s="2" t="s">
        <v>33</v>
      </c>
      <c r="G99" s="2" t="s">
        <v>36</v>
      </c>
      <c r="H99" s="2" t="s">
        <v>132</v>
      </c>
      <c r="I99" s="2" t="s">
        <v>133</v>
      </c>
      <c r="J99" s="2" t="s">
        <v>226</v>
      </c>
      <c r="K99" t="b">
        <v>0</v>
      </c>
      <c r="L99" s="2" t="s">
        <v>130</v>
      </c>
    </row>
    <row r="100" spans="1:12" hidden="1" x14ac:dyDescent="0.3">
      <c r="A100" s="2" t="s">
        <v>8</v>
      </c>
      <c r="B100" s="2" t="s">
        <v>223</v>
      </c>
      <c r="C100">
        <v>11</v>
      </c>
      <c r="D100" s="2" t="s">
        <v>237</v>
      </c>
      <c r="E100" s="2" t="s">
        <v>58</v>
      </c>
      <c r="F100" s="2" t="s">
        <v>58</v>
      </c>
      <c r="G100" s="2" t="s">
        <v>36</v>
      </c>
      <c r="H100" s="2" t="s">
        <v>132</v>
      </c>
      <c r="I100" s="2" t="s">
        <v>133</v>
      </c>
      <c r="J100" s="2" t="s">
        <v>226</v>
      </c>
      <c r="K100" t="b">
        <v>0</v>
      </c>
      <c r="L100" s="2" t="s">
        <v>130</v>
      </c>
    </row>
    <row r="101" spans="1:12" hidden="1" x14ac:dyDescent="0.3">
      <c r="A101" s="2" t="s">
        <v>8</v>
      </c>
      <c r="B101" s="2" t="s">
        <v>223</v>
      </c>
      <c r="C101">
        <v>12</v>
      </c>
      <c r="D101" s="2" t="s">
        <v>238</v>
      </c>
      <c r="E101" s="2" t="s">
        <v>59</v>
      </c>
      <c r="F101" s="2" t="s">
        <v>239</v>
      </c>
      <c r="G101" s="2" t="s">
        <v>36</v>
      </c>
      <c r="H101" s="2" t="s">
        <v>132</v>
      </c>
      <c r="I101" s="2" t="s">
        <v>133</v>
      </c>
      <c r="J101" s="2" t="s">
        <v>226</v>
      </c>
      <c r="K101" t="b">
        <v>1</v>
      </c>
      <c r="L101" s="2" t="s">
        <v>130</v>
      </c>
    </row>
    <row r="102" spans="1:12" hidden="1" x14ac:dyDescent="0.3">
      <c r="A102" s="2" t="s">
        <v>8</v>
      </c>
      <c r="B102" s="2" t="s">
        <v>223</v>
      </c>
      <c r="C102">
        <v>13</v>
      </c>
      <c r="D102" s="2" t="s">
        <v>240</v>
      </c>
      <c r="E102" s="2" t="s">
        <v>61</v>
      </c>
      <c r="F102" s="2" t="s">
        <v>241</v>
      </c>
      <c r="G102" s="2" t="s">
        <v>36</v>
      </c>
      <c r="H102" s="2" t="s">
        <v>132</v>
      </c>
      <c r="I102" s="2" t="s">
        <v>133</v>
      </c>
      <c r="J102" s="2" t="s">
        <v>226</v>
      </c>
      <c r="K102" t="b">
        <v>1</v>
      </c>
      <c r="L102" s="2" t="s">
        <v>130</v>
      </c>
    </row>
    <row r="103" spans="1:12" hidden="1" x14ac:dyDescent="0.3">
      <c r="A103" s="2" t="s">
        <v>8</v>
      </c>
      <c r="B103" s="2" t="s">
        <v>223</v>
      </c>
      <c r="C103">
        <v>14</v>
      </c>
      <c r="D103" s="2" t="s">
        <v>242</v>
      </c>
      <c r="E103" s="2" t="s">
        <v>62</v>
      </c>
      <c r="F103" s="2" t="s">
        <v>62</v>
      </c>
      <c r="G103" s="2" t="s">
        <v>36</v>
      </c>
      <c r="H103" s="2" t="s">
        <v>132</v>
      </c>
      <c r="I103" s="2" t="s">
        <v>133</v>
      </c>
      <c r="J103" s="2" t="s">
        <v>226</v>
      </c>
      <c r="K103" t="b">
        <v>0</v>
      </c>
      <c r="L103" s="2" t="s">
        <v>130</v>
      </c>
    </row>
    <row r="104" spans="1:12" hidden="1" x14ac:dyDescent="0.3">
      <c r="A104" s="2" t="s">
        <v>8</v>
      </c>
      <c r="B104" s="2" t="s">
        <v>223</v>
      </c>
      <c r="C104">
        <v>15</v>
      </c>
      <c r="D104" s="2" t="s">
        <v>243</v>
      </c>
      <c r="E104" s="2" t="s">
        <v>53</v>
      </c>
      <c r="F104" s="2" t="s">
        <v>53</v>
      </c>
      <c r="G104" s="2" t="s">
        <v>36</v>
      </c>
      <c r="H104" s="2" t="s">
        <v>132</v>
      </c>
      <c r="I104" s="2" t="s">
        <v>133</v>
      </c>
      <c r="J104" s="2" t="s">
        <v>226</v>
      </c>
      <c r="K104" t="b">
        <v>0</v>
      </c>
      <c r="L104" s="2" t="s">
        <v>130</v>
      </c>
    </row>
    <row r="105" spans="1:12" hidden="1" x14ac:dyDescent="0.3">
      <c r="A105" s="2" t="s">
        <v>8</v>
      </c>
      <c r="B105" s="2" t="s">
        <v>223</v>
      </c>
      <c r="C105">
        <v>16</v>
      </c>
      <c r="D105" s="2" t="s">
        <v>244</v>
      </c>
      <c r="E105" s="2" t="s">
        <v>17</v>
      </c>
      <c r="F105" s="2" t="s">
        <v>17</v>
      </c>
      <c r="G105" s="2" t="s">
        <v>36</v>
      </c>
      <c r="H105" s="2" t="s">
        <v>132</v>
      </c>
      <c r="I105" s="2" t="s">
        <v>133</v>
      </c>
      <c r="J105" s="2" t="s">
        <v>226</v>
      </c>
      <c r="K105" t="b">
        <v>0</v>
      </c>
      <c r="L105" s="2" t="s">
        <v>130</v>
      </c>
    </row>
    <row r="106" spans="1:12" hidden="1" x14ac:dyDescent="0.3">
      <c r="A106" s="2" t="s">
        <v>8</v>
      </c>
      <c r="B106" s="2" t="s">
        <v>223</v>
      </c>
      <c r="C106">
        <v>17</v>
      </c>
      <c r="D106" s="2" t="s">
        <v>245</v>
      </c>
      <c r="E106" s="2" t="s">
        <v>60</v>
      </c>
      <c r="F106" s="2" t="s">
        <v>60</v>
      </c>
      <c r="G106" s="2" t="s">
        <v>36</v>
      </c>
      <c r="H106" s="2" t="s">
        <v>132</v>
      </c>
      <c r="I106" s="2" t="s">
        <v>133</v>
      </c>
      <c r="J106" s="2" t="s">
        <v>226</v>
      </c>
      <c r="K106" t="b">
        <v>0</v>
      </c>
      <c r="L106" s="2" t="s">
        <v>130</v>
      </c>
    </row>
    <row r="107" spans="1:12" hidden="1" x14ac:dyDescent="0.3">
      <c r="A107" s="2" t="s">
        <v>8</v>
      </c>
      <c r="B107" s="2" t="s">
        <v>223</v>
      </c>
      <c r="C107">
        <v>18</v>
      </c>
      <c r="D107" s="2" t="s">
        <v>246</v>
      </c>
      <c r="E107" s="2" t="s">
        <v>11</v>
      </c>
      <c r="F107" s="2" t="s">
        <v>11</v>
      </c>
      <c r="G107" s="2" t="s">
        <v>36</v>
      </c>
      <c r="H107" s="2" t="s">
        <v>132</v>
      </c>
      <c r="I107" s="2" t="s">
        <v>133</v>
      </c>
      <c r="J107" s="2" t="s">
        <v>226</v>
      </c>
      <c r="K107" t="b">
        <v>0</v>
      </c>
      <c r="L107" s="2" t="s">
        <v>130</v>
      </c>
    </row>
    <row r="108" spans="1:12" hidden="1" x14ac:dyDescent="0.3">
      <c r="A108" s="2" t="s">
        <v>8</v>
      </c>
      <c r="B108" s="2" t="s">
        <v>223</v>
      </c>
      <c r="C108">
        <v>19</v>
      </c>
      <c r="D108" s="2" t="s">
        <v>247</v>
      </c>
      <c r="E108" s="2" t="s">
        <v>55</v>
      </c>
      <c r="F108" s="2" t="s">
        <v>55</v>
      </c>
      <c r="G108" s="2" t="s">
        <v>36</v>
      </c>
      <c r="H108" s="2" t="s">
        <v>132</v>
      </c>
      <c r="I108" s="2" t="s">
        <v>133</v>
      </c>
      <c r="J108" s="2" t="s">
        <v>226</v>
      </c>
      <c r="K108" t="b">
        <v>0</v>
      </c>
      <c r="L108" s="2" t="s">
        <v>130</v>
      </c>
    </row>
    <row r="109" spans="1:12" hidden="1" x14ac:dyDescent="0.3">
      <c r="A109" s="2" t="s">
        <v>8</v>
      </c>
      <c r="B109" s="2" t="s">
        <v>223</v>
      </c>
      <c r="C109">
        <v>20</v>
      </c>
      <c r="D109" s="2" t="s">
        <v>248</v>
      </c>
      <c r="E109" s="2" t="s">
        <v>14</v>
      </c>
      <c r="F109" s="2" t="s">
        <v>146</v>
      </c>
      <c r="G109" s="2" t="s">
        <v>36</v>
      </c>
      <c r="H109" s="2" t="s">
        <v>132</v>
      </c>
      <c r="I109" s="2" t="s">
        <v>133</v>
      </c>
      <c r="J109" s="2" t="s">
        <v>226</v>
      </c>
      <c r="K109" t="b">
        <v>1</v>
      </c>
      <c r="L109" s="2" t="s">
        <v>130</v>
      </c>
    </row>
    <row r="110" spans="1:12" hidden="1" x14ac:dyDescent="0.3">
      <c r="A110" s="2" t="s">
        <v>8</v>
      </c>
      <c r="B110" s="2" t="s">
        <v>223</v>
      </c>
      <c r="C110">
        <v>21</v>
      </c>
      <c r="D110" s="2" t="s">
        <v>249</v>
      </c>
      <c r="E110" s="2" t="s">
        <v>66</v>
      </c>
      <c r="F110" s="2" t="s">
        <v>66</v>
      </c>
      <c r="G110" s="2" t="s">
        <v>36</v>
      </c>
      <c r="H110" s="2" t="s">
        <v>132</v>
      </c>
      <c r="I110" s="2" t="s">
        <v>133</v>
      </c>
      <c r="J110" s="2" t="s">
        <v>226</v>
      </c>
      <c r="K110" t="b">
        <v>0</v>
      </c>
      <c r="L110" s="2" t="s">
        <v>130</v>
      </c>
    </row>
    <row r="111" spans="1:12" hidden="1" x14ac:dyDescent="0.3">
      <c r="A111" s="2" t="s">
        <v>8</v>
      </c>
      <c r="B111" s="2" t="s">
        <v>223</v>
      </c>
      <c r="C111">
        <v>22</v>
      </c>
      <c r="D111" s="2" t="s">
        <v>250</v>
      </c>
      <c r="E111" s="2" t="s">
        <v>25</v>
      </c>
      <c r="F111" s="2" t="s">
        <v>25</v>
      </c>
      <c r="G111" s="2" t="s">
        <v>36</v>
      </c>
      <c r="H111" s="2" t="s">
        <v>132</v>
      </c>
      <c r="I111" s="2" t="s">
        <v>133</v>
      </c>
      <c r="J111" s="2" t="s">
        <v>226</v>
      </c>
      <c r="K111" t="b">
        <v>0</v>
      </c>
      <c r="L111" s="2" t="s">
        <v>130</v>
      </c>
    </row>
    <row r="112" spans="1:12" hidden="1" x14ac:dyDescent="0.3">
      <c r="A112" s="2" t="s">
        <v>8</v>
      </c>
      <c r="B112" s="2" t="s">
        <v>223</v>
      </c>
      <c r="C112">
        <v>23</v>
      </c>
      <c r="D112" s="2" t="s">
        <v>251</v>
      </c>
      <c r="E112" s="2" t="s">
        <v>26</v>
      </c>
      <c r="F112" s="2" t="s">
        <v>26</v>
      </c>
      <c r="G112" s="2" t="s">
        <v>36</v>
      </c>
      <c r="H112" s="2" t="s">
        <v>132</v>
      </c>
      <c r="I112" s="2" t="s">
        <v>133</v>
      </c>
      <c r="J112" s="2" t="s">
        <v>226</v>
      </c>
      <c r="K112" t="b">
        <v>0</v>
      </c>
      <c r="L112" s="2" t="s">
        <v>130</v>
      </c>
    </row>
    <row r="113" spans="1:12" hidden="1" x14ac:dyDescent="0.3">
      <c r="A113" s="2" t="s">
        <v>8</v>
      </c>
      <c r="B113" s="2" t="s">
        <v>223</v>
      </c>
      <c r="C113">
        <v>24</v>
      </c>
      <c r="D113" s="2" t="s">
        <v>252</v>
      </c>
      <c r="E113" s="2" t="s">
        <v>27</v>
      </c>
      <c r="F113" s="2" t="s">
        <v>27</v>
      </c>
      <c r="G113" s="2" t="s">
        <v>36</v>
      </c>
      <c r="H113" s="2" t="s">
        <v>132</v>
      </c>
      <c r="I113" s="2" t="s">
        <v>133</v>
      </c>
      <c r="J113" s="2" t="s">
        <v>226</v>
      </c>
      <c r="K113" t="b">
        <v>0</v>
      </c>
      <c r="L113" s="2" t="s">
        <v>130</v>
      </c>
    </row>
    <row r="114" spans="1:12" hidden="1" x14ac:dyDescent="0.3">
      <c r="A114" s="2" t="s">
        <v>8</v>
      </c>
      <c r="B114" s="2" t="s">
        <v>223</v>
      </c>
      <c r="C114">
        <v>25</v>
      </c>
      <c r="D114" s="2" t="s">
        <v>253</v>
      </c>
      <c r="E114" s="2" t="s">
        <v>47</v>
      </c>
      <c r="F114" s="2" t="s">
        <v>47</v>
      </c>
      <c r="G114" s="2" t="s">
        <v>36</v>
      </c>
      <c r="H114" s="2" t="s">
        <v>132</v>
      </c>
      <c r="I114" s="2" t="s">
        <v>133</v>
      </c>
      <c r="J114" s="2" t="s">
        <v>226</v>
      </c>
      <c r="K114" t="b">
        <v>0</v>
      </c>
      <c r="L114" s="2" t="s">
        <v>130</v>
      </c>
    </row>
    <row r="115" spans="1:12" hidden="1" x14ac:dyDescent="0.3">
      <c r="A115" s="2" t="s">
        <v>8</v>
      </c>
      <c r="B115" s="2" t="s">
        <v>223</v>
      </c>
      <c r="C115">
        <v>26</v>
      </c>
      <c r="D115" s="2" t="s">
        <v>254</v>
      </c>
      <c r="E115" s="2" t="s">
        <v>24</v>
      </c>
      <c r="F115" s="2" t="s">
        <v>24</v>
      </c>
      <c r="G115" s="2" t="s">
        <v>36</v>
      </c>
      <c r="H115" s="2" t="s">
        <v>132</v>
      </c>
      <c r="I115" s="2" t="s">
        <v>133</v>
      </c>
      <c r="J115" s="2" t="s">
        <v>226</v>
      </c>
      <c r="K115" t="b">
        <v>0</v>
      </c>
      <c r="L115" s="2" t="s">
        <v>130</v>
      </c>
    </row>
    <row r="116" spans="1:12" hidden="1" x14ac:dyDescent="0.3">
      <c r="A116" s="2" t="s">
        <v>8</v>
      </c>
      <c r="B116" s="2" t="s">
        <v>223</v>
      </c>
      <c r="C116">
        <v>27</v>
      </c>
      <c r="D116" s="2" t="s">
        <v>255</v>
      </c>
      <c r="E116" s="2" t="s">
        <v>65</v>
      </c>
      <c r="F116" s="2" t="s">
        <v>65</v>
      </c>
      <c r="G116" s="2" t="s">
        <v>36</v>
      </c>
      <c r="H116" s="2" t="s">
        <v>132</v>
      </c>
      <c r="I116" s="2" t="s">
        <v>133</v>
      </c>
      <c r="J116" s="2" t="s">
        <v>226</v>
      </c>
      <c r="K116" t="b">
        <v>0</v>
      </c>
      <c r="L116" s="2" t="s">
        <v>130</v>
      </c>
    </row>
    <row r="117" spans="1:12" hidden="1" x14ac:dyDescent="0.3">
      <c r="A117" s="2" t="s">
        <v>8</v>
      </c>
      <c r="B117" s="2" t="s">
        <v>223</v>
      </c>
      <c r="C117">
        <v>28</v>
      </c>
      <c r="D117" s="2" t="s">
        <v>256</v>
      </c>
      <c r="E117" s="2" t="s">
        <v>63</v>
      </c>
      <c r="F117" s="2" t="s">
        <v>257</v>
      </c>
      <c r="G117" s="2" t="s">
        <v>36</v>
      </c>
      <c r="H117" s="2" t="s">
        <v>132</v>
      </c>
      <c r="I117" s="2" t="s">
        <v>133</v>
      </c>
      <c r="J117" s="2" t="s">
        <v>226</v>
      </c>
      <c r="K117" t="b">
        <v>1</v>
      </c>
      <c r="L117" s="2" t="s">
        <v>130</v>
      </c>
    </row>
    <row r="118" spans="1:12" hidden="1" x14ac:dyDescent="0.3">
      <c r="A118" s="2" t="s">
        <v>8</v>
      </c>
      <c r="B118" s="2" t="s">
        <v>223</v>
      </c>
      <c r="C118">
        <v>29</v>
      </c>
      <c r="D118" s="2" t="s">
        <v>258</v>
      </c>
      <c r="E118" s="2" t="s">
        <v>57</v>
      </c>
      <c r="F118" s="2" t="s">
        <v>57</v>
      </c>
      <c r="G118" s="2" t="s">
        <v>36</v>
      </c>
      <c r="H118" s="2" t="s">
        <v>132</v>
      </c>
      <c r="I118" s="2" t="s">
        <v>133</v>
      </c>
      <c r="J118" s="2" t="s">
        <v>226</v>
      </c>
      <c r="K118" t="b">
        <v>0</v>
      </c>
      <c r="L118" s="2" t="s">
        <v>130</v>
      </c>
    </row>
    <row r="119" spans="1:12" hidden="1" x14ac:dyDescent="0.3">
      <c r="A119" s="2" t="s">
        <v>8</v>
      </c>
      <c r="B119" s="2" t="s">
        <v>223</v>
      </c>
      <c r="C119">
        <v>30</v>
      </c>
      <c r="D119" s="2" t="s">
        <v>259</v>
      </c>
      <c r="E119" s="2" t="s">
        <v>64</v>
      </c>
      <c r="F119" s="2" t="s">
        <v>64</v>
      </c>
      <c r="G119" s="2" t="s">
        <v>36</v>
      </c>
      <c r="H119" s="2" t="s">
        <v>132</v>
      </c>
      <c r="I119" s="2" t="s">
        <v>133</v>
      </c>
      <c r="J119" s="2" t="s">
        <v>226</v>
      </c>
      <c r="K119" t="b">
        <v>0</v>
      </c>
      <c r="L119" s="2" t="s">
        <v>130</v>
      </c>
    </row>
    <row r="120" spans="1:12" hidden="1" x14ac:dyDescent="0.3">
      <c r="A120" s="2" t="s">
        <v>8</v>
      </c>
      <c r="B120" s="2" t="s">
        <v>223</v>
      </c>
      <c r="C120">
        <v>31</v>
      </c>
      <c r="D120" s="2" t="s">
        <v>260</v>
      </c>
      <c r="E120" s="2" t="s">
        <v>13</v>
      </c>
      <c r="F120" s="2" t="s">
        <v>13</v>
      </c>
      <c r="G120" s="2" t="s">
        <v>36</v>
      </c>
      <c r="H120" s="2" t="s">
        <v>132</v>
      </c>
      <c r="I120" s="2" t="s">
        <v>133</v>
      </c>
      <c r="J120" s="2" t="s">
        <v>226</v>
      </c>
      <c r="K120" t="b">
        <v>0</v>
      </c>
      <c r="L120" s="2" t="s">
        <v>130</v>
      </c>
    </row>
    <row r="121" spans="1:12" hidden="1" x14ac:dyDescent="0.3">
      <c r="A121" s="2" t="s">
        <v>8</v>
      </c>
      <c r="B121" s="2" t="s">
        <v>223</v>
      </c>
      <c r="C121">
        <v>32</v>
      </c>
      <c r="D121" s="2" t="s">
        <v>261</v>
      </c>
      <c r="E121" s="2" t="s">
        <v>13</v>
      </c>
      <c r="F121" s="2" t="s">
        <v>13</v>
      </c>
      <c r="G121" s="2" t="s">
        <v>36</v>
      </c>
      <c r="H121" s="2" t="s">
        <v>132</v>
      </c>
      <c r="I121" s="2" t="s">
        <v>133</v>
      </c>
      <c r="J121" s="2" t="s">
        <v>226</v>
      </c>
      <c r="K121" t="b">
        <v>0</v>
      </c>
      <c r="L121" s="2" t="s">
        <v>130</v>
      </c>
    </row>
    <row r="122" spans="1:12" hidden="1" x14ac:dyDescent="0.3">
      <c r="A122" s="2" t="s">
        <v>8</v>
      </c>
      <c r="B122" s="2" t="s">
        <v>223</v>
      </c>
      <c r="C122">
        <v>33</v>
      </c>
      <c r="D122" s="2" t="s">
        <v>262</v>
      </c>
      <c r="E122" s="2" t="s">
        <v>72</v>
      </c>
      <c r="F122" s="2" t="s">
        <v>72</v>
      </c>
      <c r="G122" s="2" t="s">
        <v>36</v>
      </c>
      <c r="H122" s="2" t="s">
        <v>132</v>
      </c>
      <c r="I122" s="2" t="s">
        <v>133</v>
      </c>
      <c r="J122" s="2" t="s">
        <v>226</v>
      </c>
      <c r="K122" t="b">
        <v>0</v>
      </c>
      <c r="L122" s="2" t="s">
        <v>130</v>
      </c>
    </row>
    <row r="123" spans="1:12" hidden="1" x14ac:dyDescent="0.3">
      <c r="A123" s="2" t="s">
        <v>8</v>
      </c>
      <c r="B123" s="2" t="s">
        <v>223</v>
      </c>
      <c r="C123">
        <v>34</v>
      </c>
      <c r="D123" s="2" t="s">
        <v>263</v>
      </c>
      <c r="E123" s="2" t="s">
        <v>16</v>
      </c>
      <c r="F123" s="2" t="s">
        <v>155</v>
      </c>
      <c r="G123" s="2" t="s">
        <v>36</v>
      </c>
      <c r="H123" s="2" t="s">
        <v>132</v>
      </c>
      <c r="I123" s="2" t="s">
        <v>133</v>
      </c>
      <c r="J123" s="2" t="s">
        <v>226</v>
      </c>
      <c r="K123" t="b">
        <v>1</v>
      </c>
      <c r="L123" s="2" t="s">
        <v>130</v>
      </c>
    </row>
    <row r="124" spans="1:12" hidden="1" x14ac:dyDescent="0.3">
      <c r="A124" s="2" t="s">
        <v>8</v>
      </c>
      <c r="B124" s="2" t="s">
        <v>223</v>
      </c>
      <c r="C124">
        <v>35</v>
      </c>
      <c r="D124" s="2" t="s">
        <v>264</v>
      </c>
      <c r="E124" s="2" t="s">
        <v>18</v>
      </c>
      <c r="F124" s="2" t="s">
        <v>18</v>
      </c>
      <c r="G124" s="2" t="s">
        <v>36</v>
      </c>
      <c r="H124" s="2" t="s">
        <v>132</v>
      </c>
      <c r="I124" s="2" t="s">
        <v>133</v>
      </c>
      <c r="J124" s="2" t="s">
        <v>226</v>
      </c>
      <c r="K124" t="b">
        <v>0</v>
      </c>
      <c r="L124" s="2" t="s">
        <v>130</v>
      </c>
    </row>
    <row r="125" spans="1:12" hidden="1" x14ac:dyDescent="0.3">
      <c r="A125" s="2" t="s">
        <v>8</v>
      </c>
      <c r="B125" s="2" t="s">
        <v>223</v>
      </c>
      <c r="C125">
        <v>36</v>
      </c>
      <c r="D125" s="2" t="s">
        <v>265</v>
      </c>
      <c r="E125" s="2" t="s">
        <v>77</v>
      </c>
      <c r="F125" s="2" t="s">
        <v>77</v>
      </c>
      <c r="G125" s="2" t="s">
        <v>36</v>
      </c>
      <c r="H125" s="2" t="s">
        <v>132</v>
      </c>
      <c r="I125" s="2" t="s">
        <v>133</v>
      </c>
      <c r="J125" s="2" t="s">
        <v>226</v>
      </c>
      <c r="K125" t="b">
        <v>0</v>
      </c>
      <c r="L125" s="2" t="s">
        <v>130</v>
      </c>
    </row>
    <row r="126" spans="1:12" hidden="1" x14ac:dyDescent="0.3">
      <c r="A126" s="2" t="s">
        <v>8</v>
      </c>
      <c r="B126" s="2" t="s">
        <v>223</v>
      </c>
      <c r="C126">
        <v>37</v>
      </c>
      <c r="D126" s="2" t="s">
        <v>266</v>
      </c>
      <c r="E126" s="2" t="s">
        <v>119</v>
      </c>
      <c r="F126" s="2" t="s">
        <v>119</v>
      </c>
      <c r="G126" s="2" t="s">
        <v>38</v>
      </c>
      <c r="H126" s="2" t="s">
        <v>158</v>
      </c>
      <c r="I126" s="2" t="s">
        <v>133</v>
      </c>
      <c r="J126" s="2" t="s">
        <v>226</v>
      </c>
      <c r="K126" t="b">
        <v>0</v>
      </c>
      <c r="L126" s="2" t="s">
        <v>130</v>
      </c>
    </row>
    <row r="127" spans="1:12" hidden="1" x14ac:dyDescent="0.3">
      <c r="A127" s="2" t="s">
        <v>8</v>
      </c>
      <c r="B127" s="2" t="s">
        <v>223</v>
      </c>
      <c r="C127">
        <v>38</v>
      </c>
      <c r="D127" s="2" t="s">
        <v>267</v>
      </c>
      <c r="E127" s="2" t="s">
        <v>49</v>
      </c>
      <c r="F127" s="2" t="s">
        <v>49</v>
      </c>
      <c r="G127" s="2" t="s">
        <v>38</v>
      </c>
      <c r="H127" s="2" t="s">
        <v>158</v>
      </c>
      <c r="I127" s="2" t="s">
        <v>133</v>
      </c>
      <c r="J127" s="2" t="s">
        <v>226</v>
      </c>
      <c r="K127" t="b">
        <v>0</v>
      </c>
      <c r="L127" s="2" t="s">
        <v>130</v>
      </c>
    </row>
    <row r="128" spans="1:12" hidden="1" x14ac:dyDescent="0.3">
      <c r="A128" s="2" t="s">
        <v>8</v>
      </c>
      <c r="B128" s="2" t="s">
        <v>223</v>
      </c>
      <c r="C128">
        <v>39</v>
      </c>
      <c r="D128" s="2" t="s">
        <v>268</v>
      </c>
      <c r="E128" s="2" t="s">
        <v>37</v>
      </c>
      <c r="F128" s="2" t="s">
        <v>37</v>
      </c>
      <c r="G128" s="2" t="s">
        <v>38</v>
      </c>
      <c r="H128" s="2" t="s">
        <v>158</v>
      </c>
      <c r="I128" s="2" t="s">
        <v>133</v>
      </c>
      <c r="J128" s="2" t="s">
        <v>226</v>
      </c>
      <c r="K128" t="b">
        <v>0</v>
      </c>
      <c r="L128" s="2" t="s">
        <v>130</v>
      </c>
    </row>
    <row r="129" spans="1:12" hidden="1" x14ac:dyDescent="0.3">
      <c r="A129" s="2" t="s">
        <v>8</v>
      </c>
      <c r="B129" s="2" t="s">
        <v>223</v>
      </c>
      <c r="C129">
        <v>40</v>
      </c>
      <c r="D129" s="2" t="s">
        <v>269</v>
      </c>
      <c r="E129" s="2" t="s">
        <v>40</v>
      </c>
      <c r="F129" s="2" t="s">
        <v>40</v>
      </c>
      <c r="G129" s="2" t="s">
        <v>38</v>
      </c>
      <c r="H129" s="2" t="s">
        <v>158</v>
      </c>
      <c r="I129" s="2" t="s">
        <v>133</v>
      </c>
      <c r="J129" s="2" t="s">
        <v>226</v>
      </c>
      <c r="K129" t="b">
        <v>0</v>
      </c>
      <c r="L129" s="2" t="s">
        <v>130</v>
      </c>
    </row>
    <row r="130" spans="1:12" hidden="1" x14ac:dyDescent="0.3">
      <c r="A130" s="2" t="s">
        <v>8</v>
      </c>
      <c r="B130" s="2" t="s">
        <v>223</v>
      </c>
      <c r="C130">
        <v>41</v>
      </c>
      <c r="D130" s="2" t="s">
        <v>270</v>
      </c>
      <c r="E130" s="2" t="s">
        <v>41</v>
      </c>
      <c r="F130" s="2" t="s">
        <v>41</v>
      </c>
      <c r="G130" s="2" t="s">
        <v>38</v>
      </c>
      <c r="H130" s="2" t="s">
        <v>158</v>
      </c>
      <c r="I130" s="2" t="s">
        <v>133</v>
      </c>
      <c r="J130" s="2" t="s">
        <v>226</v>
      </c>
      <c r="K130" t="b">
        <v>0</v>
      </c>
      <c r="L130" s="2" t="s">
        <v>130</v>
      </c>
    </row>
    <row r="131" spans="1:12" hidden="1" x14ac:dyDescent="0.3">
      <c r="A131" s="2" t="s">
        <v>8</v>
      </c>
      <c r="B131" s="2" t="s">
        <v>223</v>
      </c>
      <c r="C131">
        <v>42</v>
      </c>
      <c r="D131" s="2" t="s">
        <v>271</v>
      </c>
      <c r="E131" s="2" t="s">
        <v>120</v>
      </c>
      <c r="F131" s="2" t="s">
        <v>120</v>
      </c>
      <c r="G131" s="2" t="s">
        <v>38</v>
      </c>
      <c r="H131" s="2" t="s">
        <v>158</v>
      </c>
      <c r="I131" s="2" t="s">
        <v>133</v>
      </c>
      <c r="J131" s="2" t="s">
        <v>226</v>
      </c>
      <c r="K131" t="b">
        <v>0</v>
      </c>
      <c r="L131" s="2" t="s">
        <v>130</v>
      </c>
    </row>
    <row r="132" spans="1:12" hidden="1" x14ac:dyDescent="0.3">
      <c r="A132" s="2" t="s">
        <v>8</v>
      </c>
      <c r="B132" s="2" t="s">
        <v>223</v>
      </c>
      <c r="C132">
        <v>43</v>
      </c>
      <c r="D132" s="2" t="s">
        <v>272</v>
      </c>
      <c r="E132" s="2" t="s">
        <v>39</v>
      </c>
      <c r="F132" s="2" t="s">
        <v>39</v>
      </c>
      <c r="G132" s="2" t="s">
        <v>38</v>
      </c>
      <c r="H132" s="2" t="s">
        <v>158</v>
      </c>
      <c r="I132" s="2" t="s">
        <v>133</v>
      </c>
      <c r="J132" s="2" t="s">
        <v>226</v>
      </c>
      <c r="K132" t="b">
        <v>0</v>
      </c>
      <c r="L132" s="2" t="s">
        <v>130</v>
      </c>
    </row>
    <row r="133" spans="1:12" hidden="1" x14ac:dyDescent="0.3">
      <c r="A133" s="2" t="s">
        <v>8</v>
      </c>
      <c r="B133" s="2" t="s">
        <v>223</v>
      </c>
      <c r="C133">
        <v>44</v>
      </c>
      <c r="D133" s="2" t="s">
        <v>273</v>
      </c>
      <c r="E133" s="2" t="s">
        <v>123</v>
      </c>
      <c r="F133" s="2" t="s">
        <v>123</v>
      </c>
      <c r="G133" s="2" t="s">
        <v>118</v>
      </c>
      <c r="H133" s="2" t="s">
        <v>274</v>
      </c>
      <c r="I133" s="2" t="s">
        <v>133</v>
      </c>
      <c r="J133" s="2" t="s">
        <v>226</v>
      </c>
      <c r="K133" t="b">
        <v>0</v>
      </c>
      <c r="L133" s="2" t="s">
        <v>130</v>
      </c>
    </row>
    <row r="134" spans="1:12" hidden="1" x14ac:dyDescent="0.3">
      <c r="A134" s="2" t="s">
        <v>8</v>
      </c>
      <c r="B134" s="2" t="s">
        <v>223</v>
      </c>
      <c r="C134">
        <v>45</v>
      </c>
      <c r="D134" s="2" t="s">
        <v>275</v>
      </c>
      <c r="E134" s="2" t="s">
        <v>115</v>
      </c>
      <c r="F134" s="2" t="s">
        <v>115</v>
      </c>
      <c r="G134" s="2" t="s">
        <v>118</v>
      </c>
      <c r="H134" s="2" t="s">
        <v>274</v>
      </c>
      <c r="I134" s="2" t="s">
        <v>133</v>
      </c>
      <c r="J134" s="2" t="s">
        <v>226</v>
      </c>
      <c r="K134" t="b">
        <v>0</v>
      </c>
      <c r="L134" s="2" t="s">
        <v>130</v>
      </c>
    </row>
    <row r="135" spans="1:12" hidden="1" x14ac:dyDescent="0.3">
      <c r="A135" s="2" t="s">
        <v>8</v>
      </c>
      <c r="B135" s="2" t="s">
        <v>223</v>
      </c>
      <c r="C135">
        <v>46</v>
      </c>
      <c r="D135" s="2" t="s">
        <v>276</v>
      </c>
      <c r="E135" s="2" t="s">
        <v>116</v>
      </c>
      <c r="F135" s="2" t="s">
        <v>116</v>
      </c>
      <c r="G135" s="2" t="s">
        <v>118</v>
      </c>
      <c r="H135" s="2" t="s">
        <v>274</v>
      </c>
      <c r="I135" s="2" t="s">
        <v>133</v>
      </c>
      <c r="J135" s="2" t="s">
        <v>226</v>
      </c>
      <c r="K135" t="b">
        <v>0</v>
      </c>
      <c r="L135" s="2" t="s">
        <v>130</v>
      </c>
    </row>
    <row r="136" spans="1:12" hidden="1" x14ac:dyDescent="0.3">
      <c r="A136" s="2" t="s">
        <v>8</v>
      </c>
      <c r="B136" s="2" t="s">
        <v>223</v>
      </c>
      <c r="C136">
        <v>47</v>
      </c>
      <c r="D136" s="2" t="s">
        <v>277</v>
      </c>
      <c r="E136" s="2" t="s">
        <v>117</v>
      </c>
      <c r="F136" s="2" t="s">
        <v>117</v>
      </c>
      <c r="G136" s="2" t="s">
        <v>118</v>
      </c>
      <c r="H136" s="2" t="s">
        <v>274</v>
      </c>
      <c r="I136" s="2" t="s">
        <v>133</v>
      </c>
      <c r="J136" s="2" t="s">
        <v>226</v>
      </c>
      <c r="K136" t="b">
        <v>0</v>
      </c>
      <c r="L136" s="2" t="s">
        <v>130</v>
      </c>
    </row>
    <row r="137" spans="1:12" hidden="1" x14ac:dyDescent="0.3">
      <c r="A137" s="2" t="s">
        <v>8</v>
      </c>
      <c r="B137" s="2" t="s">
        <v>223</v>
      </c>
      <c r="C137">
        <v>48</v>
      </c>
      <c r="D137" s="2" t="s">
        <v>278</v>
      </c>
      <c r="E137" s="2" t="s">
        <v>81</v>
      </c>
      <c r="F137" s="2" t="s">
        <v>81</v>
      </c>
      <c r="G137" s="2" t="s">
        <v>85</v>
      </c>
      <c r="H137" s="2" t="s">
        <v>279</v>
      </c>
      <c r="I137" s="2" t="s">
        <v>133</v>
      </c>
      <c r="J137" s="2" t="s">
        <v>226</v>
      </c>
      <c r="K137" t="b">
        <v>0</v>
      </c>
      <c r="L137" s="2" t="s">
        <v>130</v>
      </c>
    </row>
    <row r="138" spans="1:12" hidden="1" x14ac:dyDescent="0.3">
      <c r="A138" s="2" t="s">
        <v>8</v>
      </c>
      <c r="B138" s="2" t="s">
        <v>223</v>
      </c>
      <c r="C138">
        <v>49</v>
      </c>
      <c r="D138" s="2" t="s">
        <v>280</v>
      </c>
      <c r="E138" s="2" t="s">
        <v>68</v>
      </c>
      <c r="F138" s="2" t="s">
        <v>68</v>
      </c>
      <c r="G138" s="2" t="s">
        <v>85</v>
      </c>
      <c r="H138" s="2" t="s">
        <v>279</v>
      </c>
      <c r="I138" s="2" t="s">
        <v>133</v>
      </c>
      <c r="J138" s="2" t="s">
        <v>226</v>
      </c>
      <c r="K138" t="b">
        <v>0</v>
      </c>
      <c r="L138" s="2" t="s">
        <v>130</v>
      </c>
    </row>
    <row r="139" spans="1:12" hidden="1" x14ac:dyDescent="0.3">
      <c r="A139" s="2" t="s">
        <v>8</v>
      </c>
      <c r="B139" s="2" t="s">
        <v>223</v>
      </c>
      <c r="C139">
        <v>50</v>
      </c>
      <c r="D139" s="2" t="s">
        <v>281</v>
      </c>
      <c r="E139" s="2" t="s">
        <v>82</v>
      </c>
      <c r="F139" s="2" t="s">
        <v>82</v>
      </c>
      <c r="G139" s="2" t="s">
        <v>85</v>
      </c>
      <c r="H139" s="2" t="s">
        <v>279</v>
      </c>
      <c r="I139" s="2" t="s">
        <v>133</v>
      </c>
      <c r="J139" s="2" t="s">
        <v>226</v>
      </c>
      <c r="K139" t="b">
        <v>0</v>
      </c>
      <c r="L139" s="2" t="s">
        <v>130</v>
      </c>
    </row>
    <row r="140" spans="1:12" hidden="1" x14ac:dyDescent="0.3">
      <c r="A140" s="2" t="s">
        <v>8</v>
      </c>
      <c r="B140" s="2" t="s">
        <v>223</v>
      </c>
      <c r="C140">
        <v>51</v>
      </c>
      <c r="D140" s="2" t="s">
        <v>282</v>
      </c>
      <c r="E140" s="2" t="s">
        <v>67</v>
      </c>
      <c r="F140" s="2" t="s">
        <v>67</v>
      </c>
      <c r="G140" s="2" t="s">
        <v>85</v>
      </c>
      <c r="H140" s="2" t="s">
        <v>279</v>
      </c>
      <c r="I140" s="2" t="s">
        <v>133</v>
      </c>
      <c r="J140" s="2" t="s">
        <v>226</v>
      </c>
      <c r="K140" t="b">
        <v>0</v>
      </c>
      <c r="L140" s="2" t="s">
        <v>130</v>
      </c>
    </row>
    <row r="141" spans="1:12" hidden="1" x14ac:dyDescent="0.3">
      <c r="A141" s="2" t="s">
        <v>8</v>
      </c>
      <c r="B141" s="2" t="s">
        <v>223</v>
      </c>
      <c r="C141">
        <v>52</v>
      </c>
      <c r="D141" s="2" t="s">
        <v>283</v>
      </c>
      <c r="E141" s="2" t="s">
        <v>83</v>
      </c>
      <c r="F141" s="2" t="s">
        <v>83</v>
      </c>
      <c r="G141" s="2" t="s">
        <v>85</v>
      </c>
      <c r="H141" s="2" t="s">
        <v>279</v>
      </c>
      <c r="I141" s="2" t="s">
        <v>133</v>
      </c>
      <c r="J141" s="2" t="s">
        <v>226</v>
      </c>
      <c r="K141" t="b">
        <v>0</v>
      </c>
      <c r="L141" s="2" t="s">
        <v>130</v>
      </c>
    </row>
    <row r="142" spans="1:12" hidden="1" x14ac:dyDescent="0.3">
      <c r="A142" s="2" t="s">
        <v>8</v>
      </c>
      <c r="B142" s="2" t="s">
        <v>223</v>
      </c>
      <c r="C142">
        <v>53</v>
      </c>
      <c r="D142" s="2" t="s">
        <v>284</v>
      </c>
      <c r="E142" s="2" t="s">
        <v>64</v>
      </c>
      <c r="F142" s="2" t="s">
        <v>64</v>
      </c>
      <c r="G142" s="2" t="s">
        <v>85</v>
      </c>
      <c r="H142" s="2" t="s">
        <v>279</v>
      </c>
      <c r="I142" s="2" t="s">
        <v>133</v>
      </c>
      <c r="J142" s="2" t="s">
        <v>226</v>
      </c>
      <c r="K142" t="b">
        <v>0</v>
      </c>
      <c r="L142" s="2" t="s">
        <v>130</v>
      </c>
    </row>
    <row r="143" spans="1:12" hidden="1" x14ac:dyDescent="0.3">
      <c r="A143" s="2" t="s">
        <v>8</v>
      </c>
      <c r="B143" s="2" t="s">
        <v>223</v>
      </c>
      <c r="C143">
        <v>54</v>
      </c>
      <c r="D143" s="2" t="s">
        <v>285</v>
      </c>
      <c r="E143" s="2" t="s">
        <v>54</v>
      </c>
      <c r="F143" s="2" t="s">
        <v>54</v>
      </c>
      <c r="G143" s="2" t="s">
        <v>85</v>
      </c>
      <c r="H143" s="2" t="s">
        <v>279</v>
      </c>
      <c r="I143" s="2" t="s">
        <v>133</v>
      </c>
      <c r="J143" s="2" t="s">
        <v>226</v>
      </c>
      <c r="K143" t="b">
        <v>0</v>
      </c>
      <c r="L143" s="2" t="s">
        <v>130</v>
      </c>
    </row>
    <row r="144" spans="1:12" hidden="1" x14ac:dyDescent="0.3">
      <c r="A144" s="2" t="s">
        <v>8</v>
      </c>
      <c r="B144" s="2" t="s">
        <v>223</v>
      </c>
      <c r="C144">
        <v>55</v>
      </c>
      <c r="D144" s="2" t="s">
        <v>286</v>
      </c>
      <c r="E144" s="2" t="s">
        <v>84</v>
      </c>
      <c r="F144" s="2" t="s">
        <v>84</v>
      </c>
      <c r="G144" s="2" t="s">
        <v>85</v>
      </c>
      <c r="H144" s="2" t="s">
        <v>279</v>
      </c>
      <c r="I144" s="2" t="s">
        <v>133</v>
      </c>
      <c r="J144" s="2" t="s">
        <v>226</v>
      </c>
      <c r="K144" t="b">
        <v>0</v>
      </c>
      <c r="L144" s="2" t="s">
        <v>130</v>
      </c>
    </row>
    <row r="145" spans="1:12" hidden="1" x14ac:dyDescent="0.3">
      <c r="A145" s="2" t="s">
        <v>8</v>
      </c>
      <c r="B145" s="2" t="s">
        <v>223</v>
      </c>
      <c r="C145">
        <v>56</v>
      </c>
      <c r="D145" s="2" t="s">
        <v>287</v>
      </c>
      <c r="E145" s="2" t="s">
        <v>69</v>
      </c>
      <c r="F145" s="2" t="s">
        <v>69</v>
      </c>
      <c r="G145" s="2" t="s">
        <v>85</v>
      </c>
      <c r="H145" s="2" t="s">
        <v>279</v>
      </c>
      <c r="I145" s="2" t="s">
        <v>133</v>
      </c>
      <c r="J145" s="2" t="s">
        <v>226</v>
      </c>
      <c r="K145" t="b">
        <v>0</v>
      </c>
      <c r="L145" s="2" t="s">
        <v>130</v>
      </c>
    </row>
    <row r="146" spans="1:12" hidden="1" x14ac:dyDescent="0.3">
      <c r="A146" s="2" t="s">
        <v>8</v>
      </c>
      <c r="B146" s="2" t="s">
        <v>223</v>
      </c>
      <c r="C146">
        <v>57</v>
      </c>
      <c r="D146" s="2" t="s">
        <v>288</v>
      </c>
      <c r="E146" s="2" t="s">
        <v>94</v>
      </c>
      <c r="F146" s="2" t="s">
        <v>94</v>
      </c>
      <c r="G146" s="2" t="s">
        <v>108</v>
      </c>
      <c r="H146" s="2" t="s">
        <v>289</v>
      </c>
      <c r="I146" s="2" t="s">
        <v>133</v>
      </c>
      <c r="J146" s="2" t="s">
        <v>226</v>
      </c>
      <c r="K146" t="b">
        <v>0</v>
      </c>
      <c r="L146" s="2" t="s">
        <v>130</v>
      </c>
    </row>
    <row r="147" spans="1:12" hidden="1" x14ac:dyDescent="0.3">
      <c r="A147" s="2" t="s">
        <v>8</v>
      </c>
      <c r="B147" s="2" t="s">
        <v>223</v>
      </c>
      <c r="C147">
        <v>58</v>
      </c>
      <c r="D147" s="2" t="s">
        <v>290</v>
      </c>
      <c r="E147" s="2" t="s">
        <v>95</v>
      </c>
      <c r="F147" s="2" t="s">
        <v>95</v>
      </c>
      <c r="G147" s="2" t="s">
        <v>108</v>
      </c>
      <c r="H147" s="2" t="s">
        <v>289</v>
      </c>
      <c r="I147" s="2" t="s">
        <v>133</v>
      </c>
      <c r="J147" s="2" t="s">
        <v>226</v>
      </c>
      <c r="K147" t="b">
        <v>0</v>
      </c>
      <c r="L147" s="2" t="s">
        <v>130</v>
      </c>
    </row>
    <row r="148" spans="1:12" hidden="1" x14ac:dyDescent="0.3">
      <c r="A148" s="2" t="s">
        <v>8</v>
      </c>
      <c r="B148" s="2" t="s">
        <v>223</v>
      </c>
      <c r="C148">
        <v>59</v>
      </c>
      <c r="D148" s="2" t="s">
        <v>291</v>
      </c>
      <c r="E148" s="2" t="s">
        <v>96</v>
      </c>
      <c r="F148" s="2" t="s">
        <v>96</v>
      </c>
      <c r="G148" s="2" t="s">
        <v>108</v>
      </c>
      <c r="H148" s="2" t="s">
        <v>289</v>
      </c>
      <c r="I148" s="2" t="s">
        <v>133</v>
      </c>
      <c r="J148" s="2" t="s">
        <v>226</v>
      </c>
      <c r="K148" t="b">
        <v>0</v>
      </c>
      <c r="L148" s="2" t="s">
        <v>130</v>
      </c>
    </row>
    <row r="149" spans="1:12" hidden="1" x14ac:dyDescent="0.3">
      <c r="A149" s="2" t="s">
        <v>8</v>
      </c>
      <c r="B149" s="2" t="s">
        <v>223</v>
      </c>
      <c r="C149">
        <v>60</v>
      </c>
      <c r="D149" s="2" t="s">
        <v>292</v>
      </c>
      <c r="E149" s="2" t="s">
        <v>86</v>
      </c>
      <c r="F149" s="2" t="s">
        <v>86</v>
      </c>
      <c r="G149" s="2" t="s">
        <v>108</v>
      </c>
      <c r="H149" s="2" t="s">
        <v>289</v>
      </c>
      <c r="I149" s="2" t="s">
        <v>133</v>
      </c>
      <c r="J149" s="2" t="s">
        <v>226</v>
      </c>
      <c r="K149" t="b">
        <v>0</v>
      </c>
      <c r="L149" s="2" t="s">
        <v>130</v>
      </c>
    </row>
    <row r="150" spans="1:12" hidden="1" x14ac:dyDescent="0.3">
      <c r="A150" s="2" t="s">
        <v>8</v>
      </c>
      <c r="B150" s="2" t="s">
        <v>223</v>
      </c>
      <c r="C150">
        <v>61</v>
      </c>
      <c r="D150" s="2" t="s">
        <v>293</v>
      </c>
      <c r="E150" s="2" t="s">
        <v>87</v>
      </c>
      <c r="F150" s="2" t="s">
        <v>87</v>
      </c>
      <c r="G150" s="2" t="s">
        <v>108</v>
      </c>
      <c r="H150" s="2" t="s">
        <v>289</v>
      </c>
      <c r="I150" s="2" t="s">
        <v>133</v>
      </c>
      <c r="J150" s="2" t="s">
        <v>226</v>
      </c>
      <c r="K150" t="b">
        <v>0</v>
      </c>
      <c r="L150" s="2" t="s">
        <v>130</v>
      </c>
    </row>
    <row r="151" spans="1:12" hidden="1" x14ac:dyDescent="0.3">
      <c r="A151" s="2" t="s">
        <v>8</v>
      </c>
      <c r="B151" s="2" t="s">
        <v>223</v>
      </c>
      <c r="C151">
        <v>62</v>
      </c>
      <c r="D151" s="2" t="s">
        <v>294</v>
      </c>
      <c r="E151" s="2" t="s">
        <v>97</v>
      </c>
      <c r="F151" s="2" t="s">
        <v>97</v>
      </c>
      <c r="G151" s="2" t="s">
        <v>108</v>
      </c>
      <c r="H151" s="2" t="s">
        <v>289</v>
      </c>
      <c r="I151" s="2" t="s">
        <v>133</v>
      </c>
      <c r="J151" s="2" t="s">
        <v>226</v>
      </c>
      <c r="K151" t="b">
        <v>0</v>
      </c>
      <c r="L151" s="2" t="s">
        <v>130</v>
      </c>
    </row>
    <row r="152" spans="1:12" hidden="1" x14ac:dyDescent="0.3">
      <c r="A152" s="2" t="s">
        <v>8</v>
      </c>
      <c r="B152" s="2" t="s">
        <v>223</v>
      </c>
      <c r="C152">
        <v>63</v>
      </c>
      <c r="D152" s="2" t="s">
        <v>295</v>
      </c>
      <c r="E152" s="2" t="s">
        <v>98</v>
      </c>
      <c r="F152" s="2" t="s">
        <v>98</v>
      </c>
      <c r="G152" s="2" t="s">
        <v>108</v>
      </c>
      <c r="H152" s="2" t="s">
        <v>289</v>
      </c>
      <c r="I152" s="2" t="s">
        <v>133</v>
      </c>
      <c r="J152" s="2" t="s">
        <v>226</v>
      </c>
      <c r="K152" t="b">
        <v>0</v>
      </c>
      <c r="L152" s="2" t="s">
        <v>130</v>
      </c>
    </row>
    <row r="153" spans="1:12" hidden="1" x14ac:dyDescent="0.3">
      <c r="A153" s="2" t="s">
        <v>8</v>
      </c>
      <c r="B153" s="2" t="s">
        <v>223</v>
      </c>
      <c r="C153">
        <v>64</v>
      </c>
      <c r="D153" s="2" t="s">
        <v>296</v>
      </c>
      <c r="E153" s="2" t="s">
        <v>88</v>
      </c>
      <c r="F153" s="2" t="s">
        <v>88</v>
      </c>
      <c r="G153" s="2" t="s">
        <v>108</v>
      </c>
      <c r="H153" s="2" t="s">
        <v>289</v>
      </c>
      <c r="I153" s="2" t="s">
        <v>133</v>
      </c>
      <c r="J153" s="2" t="s">
        <v>226</v>
      </c>
      <c r="K153" t="b">
        <v>0</v>
      </c>
      <c r="L153" s="2" t="s">
        <v>130</v>
      </c>
    </row>
    <row r="154" spans="1:12" hidden="1" x14ac:dyDescent="0.3">
      <c r="A154" s="2" t="s">
        <v>8</v>
      </c>
      <c r="B154" s="2" t="s">
        <v>223</v>
      </c>
      <c r="C154">
        <v>65</v>
      </c>
      <c r="D154" s="2" t="s">
        <v>297</v>
      </c>
      <c r="E154" s="2" t="s">
        <v>89</v>
      </c>
      <c r="F154" s="2" t="s">
        <v>89</v>
      </c>
      <c r="G154" s="2" t="s">
        <v>108</v>
      </c>
      <c r="H154" s="2" t="s">
        <v>289</v>
      </c>
      <c r="I154" s="2" t="s">
        <v>133</v>
      </c>
      <c r="J154" s="2" t="s">
        <v>226</v>
      </c>
      <c r="K154" t="b">
        <v>0</v>
      </c>
      <c r="L154" s="2" t="s">
        <v>130</v>
      </c>
    </row>
    <row r="155" spans="1:12" hidden="1" x14ac:dyDescent="0.3">
      <c r="A155" s="2" t="s">
        <v>8</v>
      </c>
      <c r="B155" s="2" t="s">
        <v>223</v>
      </c>
      <c r="C155">
        <v>66</v>
      </c>
      <c r="D155" s="2" t="s">
        <v>298</v>
      </c>
      <c r="E155" s="2" t="s">
        <v>89</v>
      </c>
      <c r="F155" s="2" t="s">
        <v>89</v>
      </c>
      <c r="G155" s="2" t="s">
        <v>108</v>
      </c>
      <c r="H155" s="2" t="s">
        <v>289</v>
      </c>
      <c r="I155" s="2" t="s">
        <v>133</v>
      </c>
      <c r="J155" s="2" t="s">
        <v>226</v>
      </c>
      <c r="K155" t="b">
        <v>0</v>
      </c>
      <c r="L155" s="2" t="s">
        <v>130</v>
      </c>
    </row>
    <row r="156" spans="1:12" hidden="1" x14ac:dyDescent="0.3">
      <c r="A156" s="2" t="s">
        <v>8</v>
      </c>
      <c r="B156" s="2" t="s">
        <v>223</v>
      </c>
      <c r="C156">
        <v>67</v>
      </c>
      <c r="D156" s="2" t="s">
        <v>299</v>
      </c>
      <c r="E156" s="2" t="s">
        <v>100</v>
      </c>
      <c r="F156" s="2" t="s">
        <v>100</v>
      </c>
      <c r="G156" s="2" t="s">
        <v>108</v>
      </c>
      <c r="H156" s="2" t="s">
        <v>289</v>
      </c>
      <c r="I156" s="2" t="s">
        <v>133</v>
      </c>
      <c r="J156" s="2" t="s">
        <v>226</v>
      </c>
      <c r="K156" t="b">
        <v>0</v>
      </c>
      <c r="L156" s="2" t="s">
        <v>130</v>
      </c>
    </row>
    <row r="157" spans="1:12" hidden="1" x14ac:dyDescent="0.3">
      <c r="A157" s="2" t="s">
        <v>8</v>
      </c>
      <c r="B157" s="2" t="s">
        <v>223</v>
      </c>
      <c r="C157">
        <v>68</v>
      </c>
      <c r="D157" s="2" t="s">
        <v>300</v>
      </c>
      <c r="E157" s="2" t="s">
        <v>99</v>
      </c>
      <c r="F157" s="2" t="s">
        <v>99</v>
      </c>
      <c r="G157" s="2" t="s">
        <v>108</v>
      </c>
      <c r="H157" s="2" t="s">
        <v>289</v>
      </c>
      <c r="I157" s="2" t="s">
        <v>133</v>
      </c>
      <c r="J157" s="2" t="s">
        <v>226</v>
      </c>
      <c r="K157" t="b">
        <v>0</v>
      </c>
      <c r="L157" s="2" t="s">
        <v>130</v>
      </c>
    </row>
    <row r="158" spans="1:12" hidden="1" x14ac:dyDescent="0.3">
      <c r="A158" s="2" t="s">
        <v>8</v>
      </c>
      <c r="B158" s="2" t="s">
        <v>223</v>
      </c>
      <c r="C158">
        <v>69</v>
      </c>
      <c r="D158" s="2" t="s">
        <v>301</v>
      </c>
      <c r="E158" s="2" t="s">
        <v>90</v>
      </c>
      <c r="F158" s="2" t="s">
        <v>90</v>
      </c>
      <c r="G158" s="2" t="s">
        <v>108</v>
      </c>
      <c r="H158" s="2" t="s">
        <v>289</v>
      </c>
      <c r="I158" s="2" t="s">
        <v>133</v>
      </c>
      <c r="J158" s="2" t="s">
        <v>226</v>
      </c>
      <c r="K158" t="b">
        <v>0</v>
      </c>
      <c r="L158" s="2" t="s">
        <v>130</v>
      </c>
    </row>
    <row r="159" spans="1:12" hidden="1" x14ac:dyDescent="0.3">
      <c r="A159" s="2" t="s">
        <v>8</v>
      </c>
      <c r="B159" s="2" t="s">
        <v>223</v>
      </c>
      <c r="C159">
        <v>70</v>
      </c>
      <c r="D159" s="2" t="s">
        <v>302</v>
      </c>
      <c r="E159" s="2" t="s">
        <v>101</v>
      </c>
      <c r="F159" s="2" t="s">
        <v>101</v>
      </c>
      <c r="G159" s="2" t="s">
        <v>108</v>
      </c>
      <c r="H159" s="2" t="s">
        <v>289</v>
      </c>
      <c r="I159" s="2" t="s">
        <v>133</v>
      </c>
      <c r="J159" s="2" t="s">
        <v>226</v>
      </c>
      <c r="K159" t="b">
        <v>0</v>
      </c>
      <c r="L159" s="2" t="s">
        <v>130</v>
      </c>
    </row>
    <row r="160" spans="1:12" hidden="1" x14ac:dyDescent="0.3">
      <c r="A160" s="2" t="s">
        <v>8</v>
      </c>
      <c r="B160" s="2" t="s">
        <v>223</v>
      </c>
      <c r="C160">
        <v>71</v>
      </c>
      <c r="D160" s="2" t="s">
        <v>303</v>
      </c>
      <c r="E160" s="2" t="s">
        <v>102</v>
      </c>
      <c r="F160" s="2" t="s">
        <v>102</v>
      </c>
      <c r="G160" s="2" t="s">
        <v>108</v>
      </c>
      <c r="H160" s="2" t="s">
        <v>289</v>
      </c>
      <c r="I160" s="2" t="s">
        <v>133</v>
      </c>
      <c r="J160" s="2" t="s">
        <v>226</v>
      </c>
      <c r="K160" t="b">
        <v>0</v>
      </c>
      <c r="L160" s="2" t="s">
        <v>130</v>
      </c>
    </row>
    <row r="161" spans="1:12" hidden="1" x14ac:dyDescent="0.3">
      <c r="A161" s="2" t="s">
        <v>8</v>
      </c>
      <c r="B161" s="2" t="s">
        <v>223</v>
      </c>
      <c r="C161">
        <v>72</v>
      </c>
      <c r="D161" s="2" t="s">
        <v>304</v>
      </c>
      <c r="E161" s="2" t="s">
        <v>103</v>
      </c>
      <c r="F161" s="2" t="s">
        <v>103</v>
      </c>
      <c r="G161" s="2" t="s">
        <v>108</v>
      </c>
      <c r="H161" s="2" t="s">
        <v>289</v>
      </c>
      <c r="I161" s="2" t="s">
        <v>133</v>
      </c>
      <c r="J161" s="2" t="s">
        <v>226</v>
      </c>
      <c r="K161" t="b">
        <v>0</v>
      </c>
      <c r="L161" s="2" t="s">
        <v>130</v>
      </c>
    </row>
    <row r="162" spans="1:12" hidden="1" x14ac:dyDescent="0.3">
      <c r="A162" s="2" t="s">
        <v>8</v>
      </c>
      <c r="B162" s="2" t="s">
        <v>223</v>
      </c>
      <c r="C162">
        <v>73</v>
      </c>
      <c r="D162" s="2" t="s">
        <v>305</v>
      </c>
      <c r="E162" s="2" t="s">
        <v>104</v>
      </c>
      <c r="F162" s="2" t="s">
        <v>104</v>
      </c>
      <c r="G162" s="2" t="s">
        <v>108</v>
      </c>
      <c r="H162" s="2" t="s">
        <v>289</v>
      </c>
      <c r="I162" s="2" t="s">
        <v>133</v>
      </c>
      <c r="J162" s="2" t="s">
        <v>226</v>
      </c>
      <c r="K162" t="b">
        <v>0</v>
      </c>
      <c r="L162" s="2" t="s">
        <v>130</v>
      </c>
    </row>
    <row r="163" spans="1:12" hidden="1" x14ac:dyDescent="0.3">
      <c r="A163" s="2" t="s">
        <v>8</v>
      </c>
      <c r="B163" s="2" t="s">
        <v>223</v>
      </c>
      <c r="C163">
        <v>74</v>
      </c>
      <c r="D163" s="2" t="s">
        <v>306</v>
      </c>
      <c r="E163" s="2" t="s">
        <v>105</v>
      </c>
      <c r="F163" s="2" t="s">
        <v>105</v>
      </c>
      <c r="G163" s="2" t="s">
        <v>108</v>
      </c>
      <c r="H163" s="2" t="s">
        <v>289</v>
      </c>
      <c r="I163" s="2" t="s">
        <v>133</v>
      </c>
      <c r="J163" s="2" t="s">
        <v>226</v>
      </c>
      <c r="K163" t="b">
        <v>0</v>
      </c>
      <c r="L163" s="2" t="s">
        <v>130</v>
      </c>
    </row>
    <row r="164" spans="1:12" hidden="1" x14ac:dyDescent="0.3">
      <c r="A164" s="2" t="s">
        <v>8</v>
      </c>
      <c r="B164" s="2" t="s">
        <v>223</v>
      </c>
      <c r="C164">
        <v>75</v>
      </c>
      <c r="D164" s="2" t="s">
        <v>307</v>
      </c>
      <c r="E164" s="2" t="s">
        <v>91</v>
      </c>
      <c r="F164" s="2" t="s">
        <v>91</v>
      </c>
      <c r="G164" s="2" t="s">
        <v>108</v>
      </c>
      <c r="H164" s="2" t="s">
        <v>289</v>
      </c>
      <c r="I164" s="2" t="s">
        <v>133</v>
      </c>
      <c r="J164" s="2" t="s">
        <v>226</v>
      </c>
      <c r="K164" t="b">
        <v>0</v>
      </c>
      <c r="L164" s="2" t="s">
        <v>130</v>
      </c>
    </row>
    <row r="165" spans="1:12" hidden="1" x14ac:dyDescent="0.3">
      <c r="A165" s="2" t="s">
        <v>8</v>
      </c>
      <c r="B165" s="2" t="s">
        <v>223</v>
      </c>
      <c r="C165">
        <v>76</v>
      </c>
      <c r="D165" s="2" t="s">
        <v>308</v>
      </c>
      <c r="E165" s="2" t="s">
        <v>91</v>
      </c>
      <c r="F165" s="2" t="s">
        <v>91</v>
      </c>
      <c r="G165" s="2" t="s">
        <v>108</v>
      </c>
      <c r="H165" s="2" t="s">
        <v>289</v>
      </c>
      <c r="I165" s="2" t="s">
        <v>133</v>
      </c>
      <c r="J165" s="2" t="s">
        <v>226</v>
      </c>
      <c r="K165" t="b">
        <v>0</v>
      </c>
      <c r="L165" s="2" t="s">
        <v>130</v>
      </c>
    </row>
    <row r="166" spans="1:12" hidden="1" x14ac:dyDescent="0.3">
      <c r="A166" s="2" t="s">
        <v>8</v>
      </c>
      <c r="B166" s="2" t="s">
        <v>223</v>
      </c>
      <c r="C166">
        <v>77</v>
      </c>
      <c r="D166" s="2" t="s">
        <v>309</v>
      </c>
      <c r="E166" s="2" t="s">
        <v>92</v>
      </c>
      <c r="F166" s="2" t="s">
        <v>92</v>
      </c>
      <c r="G166" s="2" t="s">
        <v>108</v>
      </c>
      <c r="H166" s="2" t="s">
        <v>289</v>
      </c>
      <c r="I166" s="2" t="s">
        <v>133</v>
      </c>
      <c r="J166" s="2" t="s">
        <v>226</v>
      </c>
      <c r="K166" t="b">
        <v>0</v>
      </c>
      <c r="L166" s="2" t="s">
        <v>130</v>
      </c>
    </row>
    <row r="167" spans="1:12" hidden="1" x14ac:dyDescent="0.3">
      <c r="A167" s="2" t="s">
        <v>8</v>
      </c>
      <c r="B167" s="2" t="s">
        <v>223</v>
      </c>
      <c r="C167">
        <v>78</v>
      </c>
      <c r="D167" s="2" t="s">
        <v>310</v>
      </c>
      <c r="E167" s="2" t="s">
        <v>93</v>
      </c>
      <c r="F167" s="2" t="s">
        <v>93</v>
      </c>
      <c r="G167" s="2" t="s">
        <v>108</v>
      </c>
      <c r="H167" s="2" t="s">
        <v>289</v>
      </c>
      <c r="I167" s="2" t="s">
        <v>133</v>
      </c>
      <c r="J167" s="2" t="s">
        <v>226</v>
      </c>
      <c r="K167" t="b">
        <v>0</v>
      </c>
      <c r="L167" s="2" t="s">
        <v>130</v>
      </c>
    </row>
    <row r="168" spans="1:12" hidden="1" x14ac:dyDescent="0.3">
      <c r="A168" s="2" t="s">
        <v>8</v>
      </c>
      <c r="B168" s="2" t="s">
        <v>223</v>
      </c>
      <c r="C168">
        <v>79</v>
      </c>
      <c r="D168" s="2" t="s">
        <v>311</v>
      </c>
      <c r="E168" s="2" t="s">
        <v>106</v>
      </c>
      <c r="F168" s="2" t="s">
        <v>106</v>
      </c>
      <c r="G168" s="2" t="s">
        <v>108</v>
      </c>
      <c r="H168" s="2" t="s">
        <v>289</v>
      </c>
      <c r="I168" s="2" t="s">
        <v>133</v>
      </c>
      <c r="J168" s="2" t="s">
        <v>226</v>
      </c>
      <c r="K168" t="b">
        <v>0</v>
      </c>
      <c r="L168" s="2" t="s">
        <v>130</v>
      </c>
    </row>
    <row r="169" spans="1:12" hidden="1" x14ac:dyDescent="0.3">
      <c r="A169" s="2" t="s">
        <v>8</v>
      </c>
      <c r="B169" s="2" t="s">
        <v>223</v>
      </c>
      <c r="C169">
        <v>80</v>
      </c>
      <c r="D169" s="2" t="s">
        <v>312</v>
      </c>
      <c r="E169" s="2" t="s">
        <v>107</v>
      </c>
      <c r="F169" s="2" t="s">
        <v>107</v>
      </c>
      <c r="G169" s="2" t="s">
        <v>108</v>
      </c>
      <c r="H169" s="2" t="s">
        <v>289</v>
      </c>
      <c r="I169" s="2" t="s">
        <v>133</v>
      </c>
      <c r="J169" s="2" t="s">
        <v>226</v>
      </c>
      <c r="K169" t="b">
        <v>0</v>
      </c>
      <c r="L169" s="2" t="s">
        <v>130</v>
      </c>
    </row>
    <row r="170" spans="1:12" hidden="1" x14ac:dyDescent="0.3">
      <c r="A170" s="2" t="s">
        <v>8</v>
      </c>
      <c r="B170" s="2" t="s">
        <v>223</v>
      </c>
      <c r="C170">
        <v>81</v>
      </c>
      <c r="D170" s="2" t="s">
        <v>313</v>
      </c>
      <c r="E170" s="2" t="s">
        <v>110</v>
      </c>
      <c r="F170" s="2" t="s">
        <v>110</v>
      </c>
      <c r="G170" s="2" t="s">
        <v>46</v>
      </c>
      <c r="H170" s="2" t="s">
        <v>163</v>
      </c>
      <c r="I170" s="2" t="s">
        <v>133</v>
      </c>
      <c r="J170" s="2" t="s">
        <v>226</v>
      </c>
      <c r="K170" t="b">
        <v>0</v>
      </c>
      <c r="L170" s="2" t="s">
        <v>130</v>
      </c>
    </row>
    <row r="171" spans="1:12" hidden="1" x14ac:dyDescent="0.3">
      <c r="A171" s="2" t="s">
        <v>8</v>
      </c>
      <c r="B171" s="2" t="s">
        <v>223</v>
      </c>
      <c r="C171">
        <v>82</v>
      </c>
      <c r="D171" s="2" t="s">
        <v>314</v>
      </c>
      <c r="E171" s="2" t="s">
        <v>111</v>
      </c>
      <c r="F171" s="2" t="s">
        <v>111</v>
      </c>
      <c r="G171" s="2" t="s">
        <v>46</v>
      </c>
      <c r="H171" s="2" t="s">
        <v>163</v>
      </c>
      <c r="I171" s="2" t="s">
        <v>133</v>
      </c>
      <c r="J171" s="2" t="s">
        <v>226</v>
      </c>
      <c r="K171" t="b">
        <v>0</v>
      </c>
      <c r="L171" s="2" t="s">
        <v>130</v>
      </c>
    </row>
    <row r="172" spans="1:12" hidden="1" x14ac:dyDescent="0.3">
      <c r="A172" s="2" t="s">
        <v>8</v>
      </c>
      <c r="B172" s="2" t="s">
        <v>223</v>
      </c>
      <c r="C172">
        <v>83</v>
      </c>
      <c r="D172" s="2" t="s">
        <v>315</v>
      </c>
      <c r="E172" s="2" t="s">
        <v>112</v>
      </c>
      <c r="F172" s="2" t="s">
        <v>112</v>
      </c>
      <c r="G172" s="2" t="s">
        <v>46</v>
      </c>
      <c r="H172" s="2" t="s">
        <v>163</v>
      </c>
      <c r="I172" s="2" t="s">
        <v>133</v>
      </c>
      <c r="J172" s="2" t="s">
        <v>226</v>
      </c>
      <c r="K172" t="b">
        <v>0</v>
      </c>
      <c r="L172" s="2" t="s">
        <v>130</v>
      </c>
    </row>
    <row r="173" spans="1:12" hidden="1" x14ac:dyDescent="0.3">
      <c r="A173" s="2" t="s">
        <v>8</v>
      </c>
      <c r="B173" s="2" t="s">
        <v>223</v>
      </c>
      <c r="C173">
        <v>84</v>
      </c>
      <c r="D173" s="2" t="s">
        <v>316</v>
      </c>
      <c r="E173" s="2" t="s">
        <v>109</v>
      </c>
      <c r="F173" s="2" t="s">
        <v>109</v>
      </c>
      <c r="G173" s="2" t="s">
        <v>46</v>
      </c>
      <c r="H173" s="2" t="s">
        <v>163</v>
      </c>
      <c r="I173" s="2" t="s">
        <v>133</v>
      </c>
      <c r="J173" s="2" t="s">
        <v>226</v>
      </c>
      <c r="K173" t="b">
        <v>0</v>
      </c>
      <c r="L173" s="2" t="s">
        <v>130</v>
      </c>
    </row>
    <row r="174" spans="1:12" hidden="1" x14ac:dyDescent="0.3">
      <c r="A174" s="2" t="s">
        <v>8</v>
      </c>
      <c r="B174" s="2" t="s">
        <v>223</v>
      </c>
      <c r="C174">
        <v>85</v>
      </c>
      <c r="D174" s="2" t="s">
        <v>317</v>
      </c>
      <c r="E174" s="2" t="s">
        <v>113</v>
      </c>
      <c r="F174" s="2" t="s">
        <v>113</v>
      </c>
      <c r="G174" s="2" t="s">
        <v>46</v>
      </c>
      <c r="H174" s="2" t="s">
        <v>163</v>
      </c>
      <c r="I174" s="2" t="s">
        <v>133</v>
      </c>
      <c r="J174" s="2" t="s">
        <v>226</v>
      </c>
      <c r="K174" t="b">
        <v>0</v>
      </c>
      <c r="L174" s="2" t="s">
        <v>130</v>
      </c>
    </row>
    <row r="175" spans="1:12" hidden="1" x14ac:dyDescent="0.3">
      <c r="A175" s="2" t="s">
        <v>8</v>
      </c>
      <c r="B175" s="2" t="s">
        <v>223</v>
      </c>
      <c r="C175">
        <v>86</v>
      </c>
      <c r="D175" s="2" t="s">
        <v>318</v>
      </c>
      <c r="E175" s="2" t="s">
        <v>114</v>
      </c>
      <c r="F175" s="2" t="s">
        <v>114</v>
      </c>
      <c r="G175" s="2" t="s">
        <v>46</v>
      </c>
      <c r="H175" s="2" t="s">
        <v>163</v>
      </c>
      <c r="I175" s="2" t="s">
        <v>133</v>
      </c>
      <c r="J175" s="2" t="s">
        <v>226</v>
      </c>
      <c r="K175" t="b">
        <v>0</v>
      </c>
      <c r="L175" s="2" t="s">
        <v>130</v>
      </c>
    </row>
    <row r="176" spans="1:12" hidden="1" x14ac:dyDescent="0.3">
      <c r="A176" s="2" t="s">
        <v>8</v>
      </c>
      <c r="B176" s="2" t="s">
        <v>223</v>
      </c>
      <c r="C176">
        <v>87</v>
      </c>
      <c r="D176" s="2" t="s">
        <v>319</v>
      </c>
      <c r="E176" s="2" t="s">
        <v>73</v>
      </c>
      <c r="F176" s="2" t="s">
        <v>73</v>
      </c>
      <c r="G176" s="2" t="s">
        <v>74</v>
      </c>
      <c r="H176" s="2" t="s">
        <v>320</v>
      </c>
      <c r="I176" s="2" t="s">
        <v>133</v>
      </c>
      <c r="J176" s="2" t="s">
        <v>226</v>
      </c>
      <c r="K176" t="b">
        <v>0</v>
      </c>
      <c r="L176" s="2" t="s">
        <v>130</v>
      </c>
    </row>
    <row r="177" spans="1:12" hidden="1" x14ac:dyDescent="0.3">
      <c r="A177" s="2" t="s">
        <v>8</v>
      </c>
      <c r="B177" s="2" t="s">
        <v>223</v>
      </c>
      <c r="C177">
        <v>88</v>
      </c>
      <c r="D177" s="2" t="s">
        <v>321</v>
      </c>
      <c r="E177" s="2" t="s">
        <v>75</v>
      </c>
      <c r="F177" s="2" t="s">
        <v>75</v>
      </c>
      <c r="G177" s="2" t="s">
        <v>74</v>
      </c>
      <c r="H177" s="2" t="s">
        <v>320</v>
      </c>
      <c r="I177" s="2" t="s">
        <v>133</v>
      </c>
      <c r="J177" s="2" t="s">
        <v>226</v>
      </c>
      <c r="K177" t="b">
        <v>0</v>
      </c>
      <c r="L177" s="2" t="s">
        <v>130</v>
      </c>
    </row>
    <row r="178" spans="1:12" hidden="1" x14ac:dyDescent="0.3">
      <c r="A178" s="2" t="s">
        <v>8</v>
      </c>
      <c r="B178" s="2" t="s">
        <v>223</v>
      </c>
      <c r="C178">
        <v>89</v>
      </c>
      <c r="D178" s="2" t="s">
        <v>322</v>
      </c>
      <c r="E178" s="2" t="s">
        <v>76</v>
      </c>
      <c r="F178" s="2" t="s">
        <v>76</v>
      </c>
      <c r="G178" s="2" t="s">
        <v>74</v>
      </c>
      <c r="H178" s="2" t="s">
        <v>320</v>
      </c>
      <c r="I178" s="2" t="s">
        <v>133</v>
      </c>
      <c r="J178" s="2" t="s">
        <v>226</v>
      </c>
      <c r="K178" t="b">
        <v>0</v>
      </c>
      <c r="L178" s="2" t="s">
        <v>130</v>
      </c>
    </row>
    <row r="179" spans="1:12" hidden="1" x14ac:dyDescent="0.3">
      <c r="A179" s="2" t="s">
        <v>8</v>
      </c>
      <c r="B179" s="2" t="s">
        <v>223</v>
      </c>
      <c r="C179">
        <v>90</v>
      </c>
      <c r="D179" s="2" t="s">
        <v>323</v>
      </c>
      <c r="E179" s="2" t="s">
        <v>78</v>
      </c>
      <c r="F179" s="2" t="s">
        <v>78</v>
      </c>
      <c r="G179" s="2" t="s">
        <v>80</v>
      </c>
      <c r="H179" s="2" t="s">
        <v>324</v>
      </c>
      <c r="I179" s="2" t="s">
        <v>133</v>
      </c>
      <c r="J179" s="2" t="s">
        <v>226</v>
      </c>
      <c r="K179" t="b">
        <v>0</v>
      </c>
      <c r="L179" s="2" t="s">
        <v>130</v>
      </c>
    </row>
    <row r="180" spans="1:12" hidden="1" x14ac:dyDescent="0.3">
      <c r="A180" s="2" t="s">
        <v>8</v>
      </c>
      <c r="B180" s="2" t="s">
        <v>223</v>
      </c>
      <c r="C180">
        <v>91</v>
      </c>
      <c r="D180" s="2" t="s">
        <v>325</v>
      </c>
      <c r="E180" s="2" t="s">
        <v>79</v>
      </c>
      <c r="F180" s="2" t="s">
        <v>79</v>
      </c>
      <c r="G180" s="2" t="s">
        <v>80</v>
      </c>
      <c r="H180" s="2" t="s">
        <v>324</v>
      </c>
      <c r="I180" s="2" t="s">
        <v>133</v>
      </c>
      <c r="J180" s="2" t="s">
        <v>226</v>
      </c>
      <c r="K180" t="b">
        <v>0</v>
      </c>
      <c r="L180" s="2" t="s">
        <v>130</v>
      </c>
    </row>
    <row r="181" spans="1:12" hidden="1" x14ac:dyDescent="0.3">
      <c r="A181" s="2" t="s">
        <v>8</v>
      </c>
      <c r="B181" s="2" t="s">
        <v>223</v>
      </c>
      <c r="C181">
        <v>92</v>
      </c>
      <c r="D181" s="2" t="s">
        <v>326</v>
      </c>
      <c r="E181" s="2" t="s">
        <v>11</v>
      </c>
      <c r="F181" s="2" t="s">
        <v>11</v>
      </c>
      <c r="G181" s="2" t="s">
        <v>80</v>
      </c>
      <c r="H181" s="2" t="s">
        <v>324</v>
      </c>
      <c r="I181" s="2" t="s">
        <v>133</v>
      </c>
      <c r="J181" s="2" t="s">
        <v>226</v>
      </c>
      <c r="K181" t="b">
        <v>0</v>
      </c>
      <c r="L181" s="2" t="s">
        <v>130</v>
      </c>
    </row>
    <row r="182" spans="1:12" hidden="1" x14ac:dyDescent="0.3">
      <c r="A182" s="2" t="s">
        <v>8</v>
      </c>
      <c r="B182" s="2" t="s">
        <v>223</v>
      </c>
      <c r="C182">
        <v>93</v>
      </c>
      <c r="D182" s="2" t="s">
        <v>327</v>
      </c>
      <c r="E182" s="2" t="s">
        <v>25</v>
      </c>
      <c r="F182" s="2" t="s">
        <v>25</v>
      </c>
      <c r="G182" s="2" t="s">
        <v>80</v>
      </c>
      <c r="H182" s="2" t="s">
        <v>324</v>
      </c>
      <c r="I182" s="2" t="s">
        <v>133</v>
      </c>
      <c r="J182" s="2" t="s">
        <v>226</v>
      </c>
      <c r="K182" t="b">
        <v>0</v>
      </c>
      <c r="L182" s="2" t="s">
        <v>130</v>
      </c>
    </row>
    <row r="183" spans="1:12" hidden="1" x14ac:dyDescent="0.3">
      <c r="A183" s="2" t="s">
        <v>8</v>
      </c>
      <c r="B183" s="2" t="s">
        <v>223</v>
      </c>
      <c r="C183">
        <v>94</v>
      </c>
      <c r="D183" s="2" t="s">
        <v>328</v>
      </c>
      <c r="E183" s="2" t="s">
        <v>27</v>
      </c>
      <c r="F183" s="2" t="s">
        <v>27</v>
      </c>
      <c r="G183" s="2" t="s">
        <v>80</v>
      </c>
      <c r="H183" s="2" t="s">
        <v>324</v>
      </c>
      <c r="I183" s="2" t="s">
        <v>133</v>
      </c>
      <c r="J183" s="2" t="s">
        <v>226</v>
      </c>
      <c r="K183" t="b">
        <v>0</v>
      </c>
      <c r="L183" s="2" t="s">
        <v>130</v>
      </c>
    </row>
    <row r="184" spans="1:12" hidden="1" x14ac:dyDescent="0.3">
      <c r="A184" s="2" t="s">
        <v>8</v>
      </c>
      <c r="B184" s="2" t="s">
        <v>223</v>
      </c>
      <c r="C184">
        <v>95</v>
      </c>
      <c r="D184" s="2" t="s">
        <v>329</v>
      </c>
      <c r="E184" s="2" t="s">
        <v>47</v>
      </c>
      <c r="F184" s="2" t="s">
        <v>47</v>
      </c>
      <c r="G184" s="2" t="s">
        <v>80</v>
      </c>
      <c r="H184" s="2" t="s">
        <v>324</v>
      </c>
      <c r="I184" s="2" t="s">
        <v>133</v>
      </c>
      <c r="J184" s="2" t="s">
        <v>226</v>
      </c>
      <c r="K184" t="b">
        <v>0</v>
      </c>
      <c r="L184" s="2" t="s">
        <v>130</v>
      </c>
    </row>
    <row r="185" spans="1:12" hidden="1" x14ac:dyDescent="0.3">
      <c r="A185" s="2" t="s">
        <v>8</v>
      </c>
      <c r="B185" s="2" t="s">
        <v>223</v>
      </c>
      <c r="C185">
        <v>96</v>
      </c>
      <c r="D185" s="2" t="s">
        <v>330</v>
      </c>
      <c r="E185" s="2" t="s">
        <v>122</v>
      </c>
      <c r="F185" s="2" t="s">
        <v>122</v>
      </c>
      <c r="G185" s="2" t="s">
        <v>80</v>
      </c>
      <c r="H185" s="2" t="s">
        <v>324</v>
      </c>
      <c r="I185" s="2" t="s">
        <v>133</v>
      </c>
      <c r="J185" s="2" t="s">
        <v>226</v>
      </c>
      <c r="K185" t="b">
        <v>0</v>
      </c>
      <c r="L185" s="2" t="s">
        <v>130</v>
      </c>
    </row>
    <row r="186" spans="1:12" hidden="1" x14ac:dyDescent="0.3">
      <c r="A186" s="2" t="s">
        <v>8</v>
      </c>
      <c r="B186" s="2" t="s">
        <v>223</v>
      </c>
      <c r="C186">
        <v>97</v>
      </c>
      <c r="D186" s="2" t="s">
        <v>331</v>
      </c>
      <c r="E186" s="2" t="s">
        <v>24</v>
      </c>
      <c r="F186" s="2" t="s">
        <v>24</v>
      </c>
      <c r="G186" s="2" t="s">
        <v>80</v>
      </c>
      <c r="H186" s="2" t="s">
        <v>324</v>
      </c>
      <c r="I186" s="2" t="s">
        <v>133</v>
      </c>
      <c r="J186" s="2" t="s">
        <v>226</v>
      </c>
      <c r="K186" t="b">
        <v>0</v>
      </c>
      <c r="L186" s="2" t="s">
        <v>130</v>
      </c>
    </row>
    <row r="187" spans="1:12" hidden="1" x14ac:dyDescent="0.3">
      <c r="A187" s="2" t="s">
        <v>8</v>
      </c>
      <c r="B187" s="2" t="s">
        <v>332</v>
      </c>
      <c r="C187">
        <v>1</v>
      </c>
      <c r="D187" s="2" t="s">
        <v>333</v>
      </c>
      <c r="E187" s="2" t="s">
        <v>56</v>
      </c>
      <c r="F187" s="2" t="s">
        <v>225</v>
      </c>
      <c r="G187" s="2" t="s">
        <v>36</v>
      </c>
      <c r="H187" s="2" t="s">
        <v>132</v>
      </c>
      <c r="I187" s="2" t="s">
        <v>133</v>
      </c>
      <c r="J187" s="2" t="s">
        <v>334</v>
      </c>
      <c r="K187" t="b">
        <v>1</v>
      </c>
      <c r="L187" s="2" t="s">
        <v>130</v>
      </c>
    </row>
    <row r="188" spans="1:12" hidden="1" x14ac:dyDescent="0.3">
      <c r="A188" s="2" t="s">
        <v>8</v>
      </c>
      <c r="B188" s="2" t="s">
        <v>332</v>
      </c>
      <c r="C188">
        <v>2</v>
      </c>
      <c r="D188" s="2" t="s">
        <v>335</v>
      </c>
      <c r="E188" s="2" t="s">
        <v>71</v>
      </c>
      <c r="F188" s="2" t="s">
        <v>228</v>
      </c>
      <c r="G188" s="2" t="s">
        <v>36</v>
      </c>
      <c r="H188" s="2" t="s">
        <v>132</v>
      </c>
      <c r="I188" s="2" t="s">
        <v>133</v>
      </c>
      <c r="J188" s="2" t="s">
        <v>334</v>
      </c>
      <c r="K188" t="b">
        <v>1</v>
      </c>
      <c r="L188" s="2" t="s">
        <v>130</v>
      </c>
    </row>
    <row r="189" spans="1:12" hidden="1" x14ac:dyDescent="0.3">
      <c r="A189" s="2" t="s">
        <v>8</v>
      </c>
      <c r="B189" s="2" t="s">
        <v>332</v>
      </c>
      <c r="C189">
        <v>3</v>
      </c>
      <c r="D189" s="2" t="s">
        <v>336</v>
      </c>
      <c r="E189" s="2" t="s">
        <v>28</v>
      </c>
      <c r="F189" s="2" t="s">
        <v>28</v>
      </c>
      <c r="G189" s="2" t="s">
        <v>36</v>
      </c>
      <c r="H189" s="2" t="s">
        <v>132</v>
      </c>
      <c r="I189" s="2" t="s">
        <v>133</v>
      </c>
      <c r="J189" s="2" t="s">
        <v>334</v>
      </c>
      <c r="K189" t="b">
        <v>0</v>
      </c>
      <c r="L189" s="2" t="s">
        <v>130</v>
      </c>
    </row>
    <row r="190" spans="1:12" hidden="1" x14ac:dyDescent="0.3">
      <c r="A190" s="2" t="s">
        <v>8</v>
      </c>
      <c r="B190" s="2" t="s">
        <v>332</v>
      </c>
      <c r="C190">
        <v>4</v>
      </c>
      <c r="D190" s="2" t="s">
        <v>337</v>
      </c>
      <c r="E190" s="2" t="s">
        <v>30</v>
      </c>
      <c r="F190" s="2" t="s">
        <v>30</v>
      </c>
      <c r="G190" s="2" t="s">
        <v>36</v>
      </c>
      <c r="H190" s="2" t="s">
        <v>132</v>
      </c>
      <c r="I190" s="2" t="s">
        <v>133</v>
      </c>
      <c r="J190" s="2" t="s">
        <v>334</v>
      </c>
      <c r="K190" t="b">
        <v>0</v>
      </c>
      <c r="L190" s="2" t="s">
        <v>130</v>
      </c>
    </row>
    <row r="191" spans="1:12" hidden="1" x14ac:dyDescent="0.3">
      <c r="A191" s="2" t="s">
        <v>8</v>
      </c>
      <c r="B191" s="2" t="s">
        <v>332</v>
      </c>
      <c r="C191">
        <v>5</v>
      </c>
      <c r="D191" s="2" t="s">
        <v>338</v>
      </c>
      <c r="E191" s="2" t="s">
        <v>51</v>
      </c>
      <c r="F191" s="2" t="s">
        <v>51</v>
      </c>
      <c r="G191" s="2" t="s">
        <v>36</v>
      </c>
      <c r="H191" s="2" t="s">
        <v>132</v>
      </c>
      <c r="I191" s="2" t="s">
        <v>133</v>
      </c>
      <c r="J191" s="2" t="s">
        <v>334</v>
      </c>
      <c r="K191" t="b">
        <v>0</v>
      </c>
      <c r="L191" s="2" t="s">
        <v>130</v>
      </c>
    </row>
    <row r="192" spans="1:12" hidden="1" x14ac:dyDescent="0.3">
      <c r="A192" s="2" t="s">
        <v>8</v>
      </c>
      <c r="B192" s="2" t="s">
        <v>332</v>
      </c>
      <c r="C192">
        <v>6</v>
      </c>
      <c r="D192" s="2" t="s">
        <v>339</v>
      </c>
      <c r="E192" s="2" t="s">
        <v>70</v>
      </c>
      <c r="F192" s="2" t="s">
        <v>70</v>
      </c>
      <c r="G192" s="2" t="s">
        <v>36</v>
      </c>
      <c r="H192" s="2" t="s">
        <v>132</v>
      </c>
      <c r="I192" s="2" t="s">
        <v>133</v>
      </c>
      <c r="J192" s="2" t="s">
        <v>334</v>
      </c>
      <c r="K192" t="b">
        <v>0</v>
      </c>
      <c r="L192" s="2" t="s">
        <v>130</v>
      </c>
    </row>
    <row r="193" spans="1:12" hidden="1" x14ac:dyDescent="0.3">
      <c r="A193" s="2" t="s">
        <v>8</v>
      </c>
      <c r="B193" s="2" t="s">
        <v>332</v>
      </c>
      <c r="C193">
        <v>7</v>
      </c>
      <c r="D193" s="2" t="s">
        <v>340</v>
      </c>
      <c r="E193" s="2" t="s">
        <v>48</v>
      </c>
      <c r="F193" s="2" t="s">
        <v>48</v>
      </c>
      <c r="G193" s="2" t="s">
        <v>36</v>
      </c>
      <c r="H193" s="2" t="s">
        <v>132</v>
      </c>
      <c r="I193" s="2" t="s">
        <v>133</v>
      </c>
      <c r="J193" s="2" t="s">
        <v>334</v>
      </c>
      <c r="K193" t="b">
        <v>0</v>
      </c>
      <c r="L193" s="2" t="s">
        <v>130</v>
      </c>
    </row>
    <row r="194" spans="1:12" hidden="1" x14ac:dyDescent="0.3">
      <c r="A194" s="2" t="s">
        <v>8</v>
      </c>
      <c r="B194" s="2" t="s">
        <v>332</v>
      </c>
      <c r="C194">
        <v>8</v>
      </c>
      <c r="D194" s="2" t="s">
        <v>341</v>
      </c>
      <c r="E194" s="2" t="s">
        <v>7</v>
      </c>
      <c r="F194" s="2" t="s">
        <v>7</v>
      </c>
      <c r="G194" s="2" t="s">
        <v>36</v>
      </c>
      <c r="H194" s="2" t="s">
        <v>132</v>
      </c>
      <c r="I194" s="2" t="s">
        <v>133</v>
      </c>
      <c r="J194" s="2" t="s">
        <v>334</v>
      </c>
      <c r="K194" t="b">
        <v>0</v>
      </c>
      <c r="L194" s="2" t="s">
        <v>130</v>
      </c>
    </row>
    <row r="195" spans="1:12" hidden="1" x14ac:dyDescent="0.3">
      <c r="A195" s="2" t="s">
        <v>8</v>
      </c>
      <c r="B195" s="2" t="s">
        <v>332</v>
      </c>
      <c r="C195">
        <v>9</v>
      </c>
      <c r="D195" s="2" t="s">
        <v>342</v>
      </c>
      <c r="E195" s="2" t="s">
        <v>31</v>
      </c>
      <c r="F195" s="2" t="s">
        <v>31</v>
      </c>
      <c r="G195" s="2" t="s">
        <v>36</v>
      </c>
      <c r="H195" s="2" t="s">
        <v>132</v>
      </c>
      <c r="I195" s="2" t="s">
        <v>133</v>
      </c>
      <c r="J195" s="2" t="s">
        <v>334</v>
      </c>
      <c r="K195" t="b">
        <v>0</v>
      </c>
      <c r="L195" s="2" t="s">
        <v>130</v>
      </c>
    </row>
    <row r="196" spans="1:12" hidden="1" x14ac:dyDescent="0.3">
      <c r="A196" s="2" t="s">
        <v>8</v>
      </c>
      <c r="B196" s="2" t="s">
        <v>332</v>
      </c>
      <c r="C196">
        <v>10</v>
      </c>
      <c r="D196" s="2" t="s">
        <v>343</v>
      </c>
      <c r="E196" s="2" t="s">
        <v>33</v>
      </c>
      <c r="F196" s="2" t="s">
        <v>33</v>
      </c>
      <c r="G196" s="2" t="s">
        <v>36</v>
      </c>
      <c r="H196" s="2" t="s">
        <v>132</v>
      </c>
      <c r="I196" s="2" t="s">
        <v>133</v>
      </c>
      <c r="J196" s="2" t="s">
        <v>334</v>
      </c>
      <c r="K196" t="b">
        <v>0</v>
      </c>
      <c r="L196" s="2" t="s">
        <v>130</v>
      </c>
    </row>
    <row r="197" spans="1:12" hidden="1" x14ac:dyDescent="0.3">
      <c r="A197" s="2" t="s">
        <v>8</v>
      </c>
      <c r="B197" s="2" t="s">
        <v>332</v>
      </c>
      <c r="C197">
        <v>11</v>
      </c>
      <c r="D197" s="2" t="s">
        <v>344</v>
      </c>
      <c r="E197" s="2" t="s">
        <v>58</v>
      </c>
      <c r="F197" s="2" t="s">
        <v>58</v>
      </c>
      <c r="G197" s="2" t="s">
        <v>36</v>
      </c>
      <c r="H197" s="2" t="s">
        <v>132</v>
      </c>
      <c r="I197" s="2" t="s">
        <v>133</v>
      </c>
      <c r="J197" s="2" t="s">
        <v>334</v>
      </c>
      <c r="K197" t="b">
        <v>0</v>
      </c>
      <c r="L197" s="2" t="s">
        <v>130</v>
      </c>
    </row>
    <row r="198" spans="1:12" hidden="1" x14ac:dyDescent="0.3">
      <c r="A198" s="2" t="s">
        <v>8</v>
      </c>
      <c r="B198" s="2" t="s">
        <v>332</v>
      </c>
      <c r="C198">
        <v>12</v>
      </c>
      <c r="D198" s="2" t="s">
        <v>345</v>
      </c>
      <c r="E198" s="2" t="s">
        <v>59</v>
      </c>
      <c r="F198" s="2" t="s">
        <v>239</v>
      </c>
      <c r="G198" s="2" t="s">
        <v>36</v>
      </c>
      <c r="H198" s="2" t="s">
        <v>132</v>
      </c>
      <c r="I198" s="2" t="s">
        <v>133</v>
      </c>
      <c r="J198" s="2" t="s">
        <v>334</v>
      </c>
      <c r="K198" t="b">
        <v>1</v>
      </c>
      <c r="L198" s="2" t="s">
        <v>130</v>
      </c>
    </row>
    <row r="199" spans="1:12" hidden="1" x14ac:dyDescent="0.3">
      <c r="A199" s="2" t="s">
        <v>8</v>
      </c>
      <c r="B199" s="2" t="s">
        <v>332</v>
      </c>
      <c r="C199">
        <v>13</v>
      </c>
      <c r="D199" s="2" t="s">
        <v>346</v>
      </c>
      <c r="E199" s="2" t="s">
        <v>61</v>
      </c>
      <c r="F199" s="2" t="s">
        <v>241</v>
      </c>
      <c r="G199" s="2" t="s">
        <v>36</v>
      </c>
      <c r="H199" s="2" t="s">
        <v>132</v>
      </c>
      <c r="I199" s="2" t="s">
        <v>133</v>
      </c>
      <c r="J199" s="2" t="s">
        <v>334</v>
      </c>
      <c r="K199" t="b">
        <v>1</v>
      </c>
      <c r="L199" s="2" t="s">
        <v>130</v>
      </c>
    </row>
    <row r="200" spans="1:12" hidden="1" x14ac:dyDescent="0.3">
      <c r="A200" s="2" t="s">
        <v>8</v>
      </c>
      <c r="B200" s="2" t="s">
        <v>332</v>
      </c>
      <c r="C200">
        <v>14</v>
      </c>
      <c r="D200" s="2" t="s">
        <v>347</v>
      </c>
      <c r="E200" s="2" t="s">
        <v>121</v>
      </c>
      <c r="F200" s="2" t="s">
        <v>121</v>
      </c>
      <c r="G200" s="2" t="s">
        <v>36</v>
      </c>
      <c r="H200" s="2" t="s">
        <v>132</v>
      </c>
      <c r="I200" s="2" t="s">
        <v>133</v>
      </c>
      <c r="J200" s="2" t="s">
        <v>334</v>
      </c>
      <c r="K200" t="b">
        <v>0</v>
      </c>
      <c r="L200" s="2" t="s">
        <v>130</v>
      </c>
    </row>
    <row r="201" spans="1:12" hidden="1" x14ac:dyDescent="0.3">
      <c r="A201" s="2" t="s">
        <v>8</v>
      </c>
      <c r="B201" s="2" t="s">
        <v>332</v>
      </c>
      <c r="C201">
        <v>15</v>
      </c>
      <c r="D201" s="2" t="s">
        <v>348</v>
      </c>
      <c r="E201" s="2" t="s">
        <v>62</v>
      </c>
      <c r="F201" s="2" t="s">
        <v>62</v>
      </c>
      <c r="G201" s="2" t="s">
        <v>36</v>
      </c>
      <c r="H201" s="2" t="s">
        <v>132</v>
      </c>
      <c r="I201" s="2" t="s">
        <v>133</v>
      </c>
      <c r="J201" s="2" t="s">
        <v>334</v>
      </c>
      <c r="K201" t="b">
        <v>0</v>
      </c>
      <c r="L201" s="2" t="s">
        <v>130</v>
      </c>
    </row>
    <row r="202" spans="1:12" hidden="1" x14ac:dyDescent="0.3">
      <c r="A202" s="2" t="s">
        <v>8</v>
      </c>
      <c r="B202" s="2" t="s">
        <v>332</v>
      </c>
      <c r="C202">
        <v>16</v>
      </c>
      <c r="D202" s="2" t="s">
        <v>349</v>
      </c>
      <c r="E202" s="2" t="s">
        <v>17</v>
      </c>
      <c r="F202" s="2" t="s">
        <v>17</v>
      </c>
      <c r="G202" s="2" t="s">
        <v>36</v>
      </c>
      <c r="H202" s="2" t="s">
        <v>132</v>
      </c>
      <c r="I202" s="2" t="s">
        <v>133</v>
      </c>
      <c r="J202" s="2" t="s">
        <v>334</v>
      </c>
      <c r="K202" t="b">
        <v>0</v>
      </c>
      <c r="L202" s="2" t="s">
        <v>130</v>
      </c>
    </row>
    <row r="203" spans="1:12" hidden="1" x14ac:dyDescent="0.3">
      <c r="A203" s="2" t="s">
        <v>8</v>
      </c>
      <c r="B203" s="2" t="s">
        <v>332</v>
      </c>
      <c r="C203">
        <v>17</v>
      </c>
      <c r="D203" s="2" t="s">
        <v>350</v>
      </c>
      <c r="E203" s="2" t="s">
        <v>60</v>
      </c>
      <c r="F203" s="2" t="s">
        <v>60</v>
      </c>
      <c r="G203" s="2" t="s">
        <v>36</v>
      </c>
      <c r="H203" s="2" t="s">
        <v>132</v>
      </c>
      <c r="I203" s="2" t="s">
        <v>133</v>
      </c>
      <c r="J203" s="2" t="s">
        <v>334</v>
      </c>
      <c r="K203" t="b">
        <v>0</v>
      </c>
      <c r="L203" s="2" t="s">
        <v>130</v>
      </c>
    </row>
    <row r="204" spans="1:12" hidden="1" x14ac:dyDescent="0.3">
      <c r="A204" s="2" t="s">
        <v>8</v>
      </c>
      <c r="B204" s="2" t="s">
        <v>332</v>
      </c>
      <c r="C204">
        <v>18</v>
      </c>
      <c r="D204" s="2" t="s">
        <v>351</v>
      </c>
      <c r="E204" s="2" t="s">
        <v>11</v>
      </c>
      <c r="F204" s="2" t="s">
        <v>11</v>
      </c>
      <c r="G204" s="2" t="s">
        <v>36</v>
      </c>
      <c r="H204" s="2" t="s">
        <v>132</v>
      </c>
      <c r="I204" s="2" t="s">
        <v>133</v>
      </c>
      <c r="J204" s="2" t="s">
        <v>334</v>
      </c>
      <c r="K204" t="b">
        <v>0</v>
      </c>
      <c r="L204" s="2" t="s">
        <v>130</v>
      </c>
    </row>
    <row r="205" spans="1:12" hidden="1" x14ac:dyDescent="0.3">
      <c r="A205" s="2" t="s">
        <v>8</v>
      </c>
      <c r="B205" s="2" t="s">
        <v>332</v>
      </c>
      <c r="C205">
        <v>19</v>
      </c>
      <c r="D205" s="2" t="s">
        <v>352</v>
      </c>
      <c r="E205" s="2" t="s">
        <v>55</v>
      </c>
      <c r="F205" s="2" t="s">
        <v>55</v>
      </c>
      <c r="G205" s="2" t="s">
        <v>36</v>
      </c>
      <c r="H205" s="2" t="s">
        <v>132</v>
      </c>
      <c r="I205" s="2" t="s">
        <v>133</v>
      </c>
      <c r="J205" s="2" t="s">
        <v>334</v>
      </c>
      <c r="K205" t="b">
        <v>0</v>
      </c>
      <c r="L205" s="2" t="s">
        <v>130</v>
      </c>
    </row>
    <row r="206" spans="1:12" hidden="1" x14ac:dyDescent="0.3">
      <c r="A206" s="2" t="s">
        <v>8</v>
      </c>
      <c r="B206" s="2" t="s">
        <v>332</v>
      </c>
      <c r="C206">
        <v>20</v>
      </c>
      <c r="D206" s="2" t="s">
        <v>353</v>
      </c>
      <c r="E206" s="2" t="s">
        <v>66</v>
      </c>
      <c r="F206" s="2" t="s">
        <v>66</v>
      </c>
      <c r="G206" s="2" t="s">
        <v>36</v>
      </c>
      <c r="H206" s="2" t="s">
        <v>132</v>
      </c>
      <c r="I206" s="2" t="s">
        <v>133</v>
      </c>
      <c r="J206" s="2" t="s">
        <v>334</v>
      </c>
      <c r="K206" t="b">
        <v>0</v>
      </c>
      <c r="L206" s="2" t="s">
        <v>130</v>
      </c>
    </row>
    <row r="207" spans="1:12" hidden="1" x14ac:dyDescent="0.3">
      <c r="A207" s="2" t="s">
        <v>8</v>
      </c>
      <c r="B207" s="2" t="s">
        <v>332</v>
      </c>
      <c r="C207">
        <v>21</v>
      </c>
      <c r="D207" s="2" t="s">
        <v>354</v>
      </c>
      <c r="E207" s="2" t="s">
        <v>25</v>
      </c>
      <c r="F207" s="2" t="s">
        <v>25</v>
      </c>
      <c r="G207" s="2" t="s">
        <v>36</v>
      </c>
      <c r="H207" s="2" t="s">
        <v>132</v>
      </c>
      <c r="I207" s="2" t="s">
        <v>133</v>
      </c>
      <c r="J207" s="2" t="s">
        <v>334</v>
      </c>
      <c r="K207" t="b">
        <v>0</v>
      </c>
      <c r="L207" s="2" t="s">
        <v>130</v>
      </c>
    </row>
    <row r="208" spans="1:12" hidden="1" x14ac:dyDescent="0.3">
      <c r="A208" s="2" t="s">
        <v>8</v>
      </c>
      <c r="B208" s="2" t="s">
        <v>332</v>
      </c>
      <c r="C208">
        <v>22</v>
      </c>
      <c r="D208" s="2" t="s">
        <v>355</v>
      </c>
      <c r="E208" s="2" t="s">
        <v>26</v>
      </c>
      <c r="F208" s="2" t="s">
        <v>26</v>
      </c>
      <c r="G208" s="2" t="s">
        <v>36</v>
      </c>
      <c r="H208" s="2" t="s">
        <v>132</v>
      </c>
      <c r="I208" s="2" t="s">
        <v>133</v>
      </c>
      <c r="J208" s="2" t="s">
        <v>334</v>
      </c>
      <c r="K208" t="b">
        <v>0</v>
      </c>
      <c r="L208" s="2" t="s">
        <v>130</v>
      </c>
    </row>
    <row r="209" spans="1:12" hidden="1" x14ac:dyDescent="0.3">
      <c r="A209" s="2" t="s">
        <v>8</v>
      </c>
      <c r="B209" s="2" t="s">
        <v>332</v>
      </c>
      <c r="C209">
        <v>23</v>
      </c>
      <c r="D209" s="2" t="s">
        <v>356</v>
      </c>
      <c r="E209" s="2" t="s">
        <v>27</v>
      </c>
      <c r="F209" s="2" t="s">
        <v>27</v>
      </c>
      <c r="G209" s="2" t="s">
        <v>36</v>
      </c>
      <c r="H209" s="2" t="s">
        <v>132</v>
      </c>
      <c r="I209" s="2" t="s">
        <v>133</v>
      </c>
      <c r="J209" s="2" t="s">
        <v>334</v>
      </c>
      <c r="K209" t="b">
        <v>0</v>
      </c>
      <c r="L209" s="2" t="s">
        <v>130</v>
      </c>
    </row>
    <row r="210" spans="1:12" hidden="1" x14ac:dyDescent="0.3">
      <c r="A210" s="2" t="s">
        <v>8</v>
      </c>
      <c r="B210" s="2" t="s">
        <v>332</v>
      </c>
      <c r="C210">
        <v>24</v>
      </c>
      <c r="D210" s="2" t="s">
        <v>357</v>
      </c>
      <c r="E210" s="2" t="s">
        <v>47</v>
      </c>
      <c r="F210" s="2" t="s">
        <v>47</v>
      </c>
      <c r="G210" s="2" t="s">
        <v>36</v>
      </c>
      <c r="H210" s="2" t="s">
        <v>132</v>
      </c>
      <c r="I210" s="2" t="s">
        <v>133</v>
      </c>
      <c r="J210" s="2" t="s">
        <v>334</v>
      </c>
      <c r="K210" t="b">
        <v>0</v>
      </c>
      <c r="L210" s="2" t="s">
        <v>130</v>
      </c>
    </row>
    <row r="211" spans="1:12" hidden="1" x14ac:dyDescent="0.3">
      <c r="A211" s="2" t="s">
        <v>8</v>
      </c>
      <c r="B211" s="2" t="s">
        <v>332</v>
      </c>
      <c r="C211">
        <v>25</v>
      </c>
      <c r="D211" s="2" t="s">
        <v>358</v>
      </c>
      <c r="E211" s="2" t="s">
        <v>24</v>
      </c>
      <c r="F211" s="2" t="s">
        <v>24</v>
      </c>
      <c r="G211" s="2" t="s">
        <v>36</v>
      </c>
      <c r="H211" s="2" t="s">
        <v>132</v>
      </c>
      <c r="I211" s="2" t="s">
        <v>133</v>
      </c>
      <c r="J211" s="2" t="s">
        <v>334</v>
      </c>
      <c r="K211" t="b">
        <v>0</v>
      </c>
      <c r="L211" s="2" t="s">
        <v>130</v>
      </c>
    </row>
    <row r="212" spans="1:12" hidden="1" x14ac:dyDescent="0.3">
      <c r="A212" s="2" t="s">
        <v>8</v>
      </c>
      <c r="B212" s="2" t="s">
        <v>332</v>
      </c>
      <c r="C212">
        <v>26</v>
      </c>
      <c r="D212" s="2" t="s">
        <v>359</v>
      </c>
      <c r="E212" s="2" t="s">
        <v>65</v>
      </c>
      <c r="F212" s="2" t="s">
        <v>65</v>
      </c>
      <c r="G212" s="2" t="s">
        <v>36</v>
      </c>
      <c r="H212" s="2" t="s">
        <v>132</v>
      </c>
      <c r="I212" s="2" t="s">
        <v>133</v>
      </c>
      <c r="J212" s="2" t="s">
        <v>334</v>
      </c>
      <c r="K212" t="b">
        <v>0</v>
      </c>
      <c r="L212" s="2" t="s">
        <v>130</v>
      </c>
    </row>
    <row r="213" spans="1:12" hidden="1" x14ac:dyDescent="0.3">
      <c r="A213" s="2" t="s">
        <v>8</v>
      </c>
      <c r="B213" s="2" t="s">
        <v>332</v>
      </c>
      <c r="C213">
        <v>27</v>
      </c>
      <c r="D213" s="2" t="s">
        <v>360</v>
      </c>
      <c r="E213" s="2" t="s">
        <v>63</v>
      </c>
      <c r="F213" s="2" t="s">
        <v>257</v>
      </c>
      <c r="G213" s="2" t="s">
        <v>36</v>
      </c>
      <c r="H213" s="2" t="s">
        <v>132</v>
      </c>
      <c r="I213" s="2" t="s">
        <v>133</v>
      </c>
      <c r="J213" s="2" t="s">
        <v>334</v>
      </c>
      <c r="K213" t="b">
        <v>1</v>
      </c>
      <c r="L213" s="2" t="s">
        <v>130</v>
      </c>
    </row>
    <row r="214" spans="1:12" hidden="1" x14ac:dyDescent="0.3">
      <c r="A214" s="2" t="s">
        <v>8</v>
      </c>
      <c r="B214" s="2" t="s">
        <v>332</v>
      </c>
      <c r="C214">
        <v>28</v>
      </c>
      <c r="D214" s="2" t="s">
        <v>361</v>
      </c>
      <c r="E214" s="2" t="s">
        <v>13</v>
      </c>
      <c r="F214" s="2" t="s">
        <v>13</v>
      </c>
      <c r="G214" s="2" t="s">
        <v>36</v>
      </c>
      <c r="H214" s="2" t="s">
        <v>132</v>
      </c>
      <c r="I214" s="2" t="s">
        <v>133</v>
      </c>
      <c r="J214" s="2" t="s">
        <v>334</v>
      </c>
      <c r="K214" t="b">
        <v>0</v>
      </c>
      <c r="L214" s="2" t="s">
        <v>130</v>
      </c>
    </row>
    <row r="215" spans="1:12" hidden="1" x14ac:dyDescent="0.3">
      <c r="A215" s="2" t="s">
        <v>8</v>
      </c>
      <c r="B215" s="2" t="s">
        <v>332</v>
      </c>
      <c r="C215">
        <v>29</v>
      </c>
      <c r="D215" s="2" t="s">
        <v>362</v>
      </c>
      <c r="E215" s="2" t="s">
        <v>72</v>
      </c>
      <c r="F215" s="2" t="s">
        <v>72</v>
      </c>
      <c r="G215" s="2" t="s">
        <v>36</v>
      </c>
      <c r="H215" s="2" t="s">
        <v>132</v>
      </c>
      <c r="I215" s="2" t="s">
        <v>133</v>
      </c>
      <c r="J215" s="2" t="s">
        <v>334</v>
      </c>
      <c r="K215" t="b">
        <v>0</v>
      </c>
      <c r="L215" s="2" t="s">
        <v>130</v>
      </c>
    </row>
    <row r="216" spans="1:12" hidden="1" x14ac:dyDescent="0.3">
      <c r="A216" s="2" t="s">
        <v>8</v>
      </c>
      <c r="B216" s="2" t="s">
        <v>332</v>
      </c>
      <c r="C216">
        <v>30</v>
      </c>
      <c r="D216" s="2" t="s">
        <v>363</v>
      </c>
      <c r="E216" s="2" t="s">
        <v>16</v>
      </c>
      <c r="F216" s="2" t="s">
        <v>155</v>
      </c>
      <c r="G216" s="2" t="s">
        <v>36</v>
      </c>
      <c r="H216" s="2" t="s">
        <v>132</v>
      </c>
      <c r="I216" s="2" t="s">
        <v>133</v>
      </c>
      <c r="J216" s="2" t="s">
        <v>334</v>
      </c>
      <c r="K216" t="b">
        <v>1</v>
      </c>
      <c r="L216" s="2" t="s">
        <v>130</v>
      </c>
    </row>
    <row r="217" spans="1:12" hidden="1" x14ac:dyDescent="0.3">
      <c r="A217" s="2" t="s">
        <v>8</v>
      </c>
      <c r="B217" s="2" t="s">
        <v>332</v>
      </c>
      <c r="C217">
        <v>31</v>
      </c>
      <c r="D217" s="2" t="s">
        <v>364</v>
      </c>
      <c r="E217" s="2" t="s">
        <v>18</v>
      </c>
      <c r="F217" s="2" t="s">
        <v>18</v>
      </c>
      <c r="G217" s="2" t="s">
        <v>36</v>
      </c>
      <c r="H217" s="2" t="s">
        <v>132</v>
      </c>
      <c r="I217" s="2" t="s">
        <v>133</v>
      </c>
      <c r="J217" s="2" t="s">
        <v>334</v>
      </c>
      <c r="K217" t="b">
        <v>0</v>
      </c>
      <c r="L217" s="2" t="s">
        <v>130</v>
      </c>
    </row>
    <row r="218" spans="1:12" hidden="1" x14ac:dyDescent="0.3">
      <c r="A218" s="2" t="s">
        <v>8</v>
      </c>
      <c r="B218" s="2" t="s">
        <v>332</v>
      </c>
      <c r="C218">
        <v>32</v>
      </c>
      <c r="D218" s="2" t="s">
        <v>365</v>
      </c>
      <c r="E218" s="2" t="s">
        <v>77</v>
      </c>
      <c r="F218" s="2" t="s">
        <v>77</v>
      </c>
      <c r="G218" s="2" t="s">
        <v>36</v>
      </c>
      <c r="H218" s="2" t="s">
        <v>132</v>
      </c>
      <c r="I218" s="2" t="s">
        <v>133</v>
      </c>
      <c r="J218" s="2" t="s">
        <v>334</v>
      </c>
      <c r="K218" t="b">
        <v>0</v>
      </c>
      <c r="L218" s="2" t="s">
        <v>130</v>
      </c>
    </row>
    <row r="219" spans="1:12" hidden="1" x14ac:dyDescent="0.3">
      <c r="A219" s="2" t="s">
        <v>8</v>
      </c>
      <c r="B219" s="2" t="s">
        <v>332</v>
      </c>
      <c r="C219">
        <v>33</v>
      </c>
      <c r="D219" s="2" t="s">
        <v>366</v>
      </c>
      <c r="E219" s="2" t="s">
        <v>81</v>
      </c>
      <c r="F219" s="2" t="s">
        <v>81</v>
      </c>
      <c r="G219" s="2" t="s">
        <v>124</v>
      </c>
      <c r="H219" s="2" t="s">
        <v>367</v>
      </c>
      <c r="I219" s="2" t="s">
        <v>133</v>
      </c>
      <c r="J219" s="2" t="s">
        <v>334</v>
      </c>
      <c r="K219" t="b">
        <v>0</v>
      </c>
      <c r="L219" s="2" t="s">
        <v>130</v>
      </c>
    </row>
    <row r="220" spans="1:12" hidden="1" x14ac:dyDescent="0.3">
      <c r="A220" s="2" t="s">
        <v>8</v>
      </c>
      <c r="B220" s="2" t="s">
        <v>332</v>
      </c>
      <c r="C220">
        <v>34</v>
      </c>
      <c r="D220" s="2" t="s">
        <v>368</v>
      </c>
      <c r="E220" s="2" t="s">
        <v>68</v>
      </c>
      <c r="F220" s="2" t="s">
        <v>68</v>
      </c>
      <c r="G220" s="2" t="s">
        <v>124</v>
      </c>
      <c r="H220" s="2" t="s">
        <v>367</v>
      </c>
      <c r="I220" s="2" t="s">
        <v>133</v>
      </c>
      <c r="J220" s="2" t="s">
        <v>334</v>
      </c>
      <c r="K220" t="b">
        <v>0</v>
      </c>
      <c r="L220" s="2" t="s">
        <v>130</v>
      </c>
    </row>
    <row r="221" spans="1:12" hidden="1" x14ac:dyDescent="0.3">
      <c r="A221" s="2" t="s">
        <v>8</v>
      </c>
      <c r="B221" s="2" t="s">
        <v>332</v>
      </c>
      <c r="C221">
        <v>35</v>
      </c>
      <c r="D221" s="2" t="s">
        <v>369</v>
      </c>
      <c r="E221" s="2" t="s">
        <v>82</v>
      </c>
      <c r="F221" s="2" t="s">
        <v>82</v>
      </c>
      <c r="G221" s="2" t="s">
        <v>124</v>
      </c>
      <c r="H221" s="2" t="s">
        <v>367</v>
      </c>
      <c r="I221" s="2" t="s">
        <v>133</v>
      </c>
      <c r="J221" s="2" t="s">
        <v>334</v>
      </c>
      <c r="K221" t="b">
        <v>0</v>
      </c>
      <c r="L221" s="2" t="s">
        <v>130</v>
      </c>
    </row>
    <row r="222" spans="1:12" hidden="1" x14ac:dyDescent="0.3">
      <c r="A222" s="2" t="s">
        <v>8</v>
      </c>
      <c r="B222" s="2" t="s">
        <v>332</v>
      </c>
      <c r="C222">
        <v>36</v>
      </c>
      <c r="D222" s="2" t="s">
        <v>370</v>
      </c>
      <c r="E222" s="2" t="s">
        <v>67</v>
      </c>
      <c r="F222" s="2" t="s">
        <v>67</v>
      </c>
      <c r="G222" s="2" t="s">
        <v>124</v>
      </c>
      <c r="H222" s="2" t="s">
        <v>367</v>
      </c>
      <c r="I222" s="2" t="s">
        <v>133</v>
      </c>
      <c r="J222" s="2" t="s">
        <v>334</v>
      </c>
      <c r="K222" t="b">
        <v>0</v>
      </c>
      <c r="L222" s="2" t="s">
        <v>130</v>
      </c>
    </row>
    <row r="223" spans="1:12" hidden="1" x14ac:dyDescent="0.3">
      <c r="A223" s="2" t="s">
        <v>8</v>
      </c>
      <c r="B223" s="2" t="s">
        <v>332</v>
      </c>
      <c r="C223">
        <v>37</v>
      </c>
      <c r="D223" s="2" t="s">
        <v>371</v>
      </c>
      <c r="E223" s="2" t="s">
        <v>83</v>
      </c>
      <c r="F223" s="2" t="s">
        <v>83</v>
      </c>
      <c r="G223" s="2" t="s">
        <v>124</v>
      </c>
      <c r="H223" s="2" t="s">
        <v>367</v>
      </c>
      <c r="I223" s="2" t="s">
        <v>133</v>
      </c>
      <c r="J223" s="2" t="s">
        <v>334</v>
      </c>
      <c r="K223" t="b">
        <v>0</v>
      </c>
      <c r="L223" s="2" t="s">
        <v>130</v>
      </c>
    </row>
    <row r="224" spans="1:12" hidden="1" x14ac:dyDescent="0.3">
      <c r="A224" s="2" t="s">
        <v>8</v>
      </c>
      <c r="B224" s="2" t="s">
        <v>332</v>
      </c>
      <c r="C224">
        <v>38</v>
      </c>
      <c r="D224" s="2" t="s">
        <v>372</v>
      </c>
      <c r="E224" s="2" t="s">
        <v>57</v>
      </c>
      <c r="F224" s="2" t="s">
        <v>57</v>
      </c>
      <c r="G224" s="2" t="s">
        <v>124</v>
      </c>
      <c r="H224" s="2" t="s">
        <v>367</v>
      </c>
      <c r="I224" s="2" t="s">
        <v>133</v>
      </c>
      <c r="J224" s="2" t="s">
        <v>334</v>
      </c>
      <c r="K224" t="b">
        <v>0</v>
      </c>
      <c r="L224" s="2" t="s">
        <v>130</v>
      </c>
    </row>
    <row r="225" spans="1:12" hidden="1" x14ac:dyDescent="0.3">
      <c r="A225" s="2" t="s">
        <v>8</v>
      </c>
      <c r="B225" s="2" t="s">
        <v>332</v>
      </c>
      <c r="C225">
        <v>39</v>
      </c>
      <c r="D225" s="2" t="s">
        <v>373</v>
      </c>
      <c r="E225" s="2" t="s">
        <v>64</v>
      </c>
      <c r="F225" s="2" t="s">
        <v>64</v>
      </c>
      <c r="G225" s="2" t="s">
        <v>124</v>
      </c>
      <c r="H225" s="2" t="s">
        <v>367</v>
      </c>
      <c r="I225" s="2" t="s">
        <v>133</v>
      </c>
      <c r="J225" s="2" t="s">
        <v>334</v>
      </c>
      <c r="K225" t="b">
        <v>0</v>
      </c>
      <c r="L225" s="2" t="s">
        <v>130</v>
      </c>
    </row>
    <row r="226" spans="1:12" hidden="1" x14ac:dyDescent="0.3">
      <c r="A226" s="2" t="s">
        <v>8</v>
      </c>
      <c r="B226" s="2" t="s">
        <v>332</v>
      </c>
      <c r="C226">
        <v>40</v>
      </c>
      <c r="D226" s="2" t="s">
        <v>374</v>
      </c>
      <c r="E226" s="2" t="s">
        <v>54</v>
      </c>
      <c r="F226" s="2" t="s">
        <v>54</v>
      </c>
      <c r="G226" s="2" t="s">
        <v>124</v>
      </c>
      <c r="H226" s="2" t="s">
        <v>367</v>
      </c>
      <c r="I226" s="2" t="s">
        <v>133</v>
      </c>
      <c r="J226" s="2" t="s">
        <v>334</v>
      </c>
      <c r="K226" t="b">
        <v>0</v>
      </c>
      <c r="L226" s="2" t="s">
        <v>130</v>
      </c>
    </row>
    <row r="227" spans="1:12" hidden="1" x14ac:dyDescent="0.3">
      <c r="A227" s="2" t="s">
        <v>8</v>
      </c>
      <c r="B227" s="2" t="s">
        <v>332</v>
      </c>
      <c r="C227">
        <v>41</v>
      </c>
      <c r="D227" s="2" t="s">
        <v>375</v>
      </c>
      <c r="E227" s="2" t="s">
        <v>84</v>
      </c>
      <c r="F227" s="2" t="s">
        <v>84</v>
      </c>
      <c r="G227" s="2" t="s">
        <v>124</v>
      </c>
      <c r="H227" s="2" t="s">
        <v>367</v>
      </c>
      <c r="I227" s="2" t="s">
        <v>133</v>
      </c>
      <c r="J227" s="2" t="s">
        <v>334</v>
      </c>
      <c r="K227" t="b">
        <v>0</v>
      </c>
      <c r="L227" s="2" t="s">
        <v>130</v>
      </c>
    </row>
    <row r="228" spans="1:12" hidden="1" x14ac:dyDescent="0.3">
      <c r="A228" s="2" t="s">
        <v>8</v>
      </c>
      <c r="B228" s="2" t="s">
        <v>332</v>
      </c>
      <c r="C228">
        <v>42</v>
      </c>
      <c r="D228" s="2" t="s">
        <v>376</v>
      </c>
      <c r="E228" s="2" t="s">
        <v>69</v>
      </c>
      <c r="F228" s="2" t="s">
        <v>69</v>
      </c>
      <c r="G228" s="2" t="s">
        <v>124</v>
      </c>
      <c r="H228" s="2" t="s">
        <v>367</v>
      </c>
      <c r="I228" s="2" t="s">
        <v>133</v>
      </c>
      <c r="J228" s="2" t="s">
        <v>334</v>
      </c>
      <c r="K228" t="b">
        <v>0</v>
      </c>
      <c r="L228" s="2" t="s">
        <v>130</v>
      </c>
    </row>
    <row r="229" spans="1:12" hidden="1" x14ac:dyDescent="0.3">
      <c r="A229" s="2" t="s">
        <v>8</v>
      </c>
      <c r="B229" s="2" t="s">
        <v>332</v>
      </c>
      <c r="C229">
        <v>43</v>
      </c>
      <c r="D229" s="2" t="s">
        <v>377</v>
      </c>
      <c r="E229" s="2" t="s">
        <v>119</v>
      </c>
      <c r="F229" s="2" t="s">
        <v>119</v>
      </c>
      <c r="G229" s="2" t="s">
        <v>38</v>
      </c>
      <c r="H229" s="2" t="s">
        <v>158</v>
      </c>
      <c r="I229" s="2" t="s">
        <v>133</v>
      </c>
      <c r="J229" s="2" t="s">
        <v>334</v>
      </c>
      <c r="K229" t="b">
        <v>0</v>
      </c>
      <c r="L229" s="2" t="s">
        <v>130</v>
      </c>
    </row>
    <row r="230" spans="1:12" hidden="1" x14ac:dyDescent="0.3">
      <c r="A230" s="2" t="s">
        <v>8</v>
      </c>
      <c r="B230" s="2" t="s">
        <v>332</v>
      </c>
      <c r="C230">
        <v>44</v>
      </c>
      <c r="D230" s="2" t="s">
        <v>378</v>
      </c>
      <c r="E230" s="2" t="s">
        <v>49</v>
      </c>
      <c r="F230" s="2" t="s">
        <v>49</v>
      </c>
      <c r="G230" s="2" t="s">
        <v>38</v>
      </c>
      <c r="H230" s="2" t="s">
        <v>158</v>
      </c>
      <c r="I230" s="2" t="s">
        <v>133</v>
      </c>
      <c r="J230" s="2" t="s">
        <v>334</v>
      </c>
      <c r="K230" t="b">
        <v>0</v>
      </c>
      <c r="L230" s="2" t="s">
        <v>130</v>
      </c>
    </row>
    <row r="231" spans="1:12" hidden="1" x14ac:dyDescent="0.3">
      <c r="A231" s="2" t="s">
        <v>8</v>
      </c>
      <c r="B231" s="2" t="s">
        <v>332</v>
      </c>
      <c r="C231">
        <v>45</v>
      </c>
      <c r="D231" s="2" t="s">
        <v>379</v>
      </c>
      <c r="E231" s="2" t="s">
        <v>37</v>
      </c>
      <c r="F231" s="2" t="s">
        <v>37</v>
      </c>
      <c r="G231" s="2" t="s">
        <v>38</v>
      </c>
      <c r="H231" s="2" t="s">
        <v>158</v>
      </c>
      <c r="I231" s="2" t="s">
        <v>133</v>
      </c>
      <c r="J231" s="2" t="s">
        <v>334</v>
      </c>
      <c r="K231" t="b">
        <v>0</v>
      </c>
      <c r="L231" s="2" t="s">
        <v>130</v>
      </c>
    </row>
    <row r="232" spans="1:12" hidden="1" x14ac:dyDescent="0.3">
      <c r="A232" s="2" t="s">
        <v>8</v>
      </c>
      <c r="B232" s="2" t="s">
        <v>332</v>
      </c>
      <c r="C232">
        <v>46</v>
      </c>
      <c r="D232" s="2" t="s">
        <v>380</v>
      </c>
      <c r="E232" s="2" t="s">
        <v>40</v>
      </c>
      <c r="F232" s="2" t="s">
        <v>40</v>
      </c>
      <c r="G232" s="2" t="s">
        <v>38</v>
      </c>
      <c r="H232" s="2" t="s">
        <v>158</v>
      </c>
      <c r="I232" s="2" t="s">
        <v>133</v>
      </c>
      <c r="J232" s="2" t="s">
        <v>334</v>
      </c>
      <c r="K232" t="b">
        <v>0</v>
      </c>
      <c r="L232" s="2" t="s">
        <v>130</v>
      </c>
    </row>
    <row r="233" spans="1:12" hidden="1" x14ac:dyDescent="0.3">
      <c r="A233" s="2" t="s">
        <v>8</v>
      </c>
      <c r="B233" s="2" t="s">
        <v>332</v>
      </c>
      <c r="C233">
        <v>47</v>
      </c>
      <c r="D233" s="2" t="s">
        <v>381</v>
      </c>
      <c r="E233" s="2" t="s">
        <v>41</v>
      </c>
      <c r="F233" s="2" t="s">
        <v>41</v>
      </c>
      <c r="G233" s="2" t="s">
        <v>38</v>
      </c>
      <c r="H233" s="2" t="s">
        <v>158</v>
      </c>
      <c r="I233" s="2" t="s">
        <v>133</v>
      </c>
      <c r="J233" s="2" t="s">
        <v>334</v>
      </c>
      <c r="K233" t="b">
        <v>0</v>
      </c>
      <c r="L233" s="2" t="s">
        <v>130</v>
      </c>
    </row>
    <row r="234" spans="1:12" hidden="1" x14ac:dyDescent="0.3">
      <c r="A234" s="2" t="s">
        <v>8</v>
      </c>
      <c r="B234" s="2" t="s">
        <v>332</v>
      </c>
      <c r="C234">
        <v>48</v>
      </c>
      <c r="D234" s="2" t="s">
        <v>382</v>
      </c>
      <c r="E234" s="2" t="s">
        <v>120</v>
      </c>
      <c r="F234" s="2" t="s">
        <v>120</v>
      </c>
      <c r="G234" s="2" t="s">
        <v>38</v>
      </c>
      <c r="H234" s="2" t="s">
        <v>158</v>
      </c>
      <c r="I234" s="2" t="s">
        <v>133</v>
      </c>
      <c r="J234" s="2" t="s">
        <v>334</v>
      </c>
      <c r="K234" t="b">
        <v>0</v>
      </c>
      <c r="L234" s="2" t="s">
        <v>130</v>
      </c>
    </row>
    <row r="235" spans="1:12" hidden="1" x14ac:dyDescent="0.3">
      <c r="A235" s="2" t="s">
        <v>8</v>
      </c>
      <c r="B235" s="2" t="s">
        <v>332</v>
      </c>
      <c r="C235">
        <v>49</v>
      </c>
      <c r="D235" s="2" t="s">
        <v>383</v>
      </c>
      <c r="E235" s="2" t="s">
        <v>39</v>
      </c>
      <c r="F235" s="2" t="s">
        <v>39</v>
      </c>
      <c r="G235" s="2" t="s">
        <v>38</v>
      </c>
      <c r="H235" s="2" t="s">
        <v>158</v>
      </c>
      <c r="I235" s="2" t="s">
        <v>133</v>
      </c>
      <c r="J235" s="2" t="s">
        <v>334</v>
      </c>
      <c r="K235" t="b">
        <v>0</v>
      </c>
      <c r="L235" s="2" t="s">
        <v>130</v>
      </c>
    </row>
    <row r="236" spans="1:12" hidden="1" x14ac:dyDescent="0.3">
      <c r="A236" s="2" t="s">
        <v>8</v>
      </c>
      <c r="B236" s="2" t="s">
        <v>332</v>
      </c>
      <c r="C236">
        <v>50</v>
      </c>
      <c r="D236" s="2" t="s">
        <v>384</v>
      </c>
      <c r="E236" s="2" t="s">
        <v>123</v>
      </c>
      <c r="F236" s="2" t="s">
        <v>123</v>
      </c>
      <c r="G236" s="2" t="s">
        <v>118</v>
      </c>
      <c r="H236" s="2" t="s">
        <v>274</v>
      </c>
      <c r="I236" s="2" t="s">
        <v>133</v>
      </c>
      <c r="J236" s="2" t="s">
        <v>334</v>
      </c>
      <c r="K236" t="b">
        <v>0</v>
      </c>
      <c r="L236" s="2" t="s">
        <v>130</v>
      </c>
    </row>
    <row r="237" spans="1:12" hidden="1" x14ac:dyDescent="0.3">
      <c r="A237" s="2" t="s">
        <v>8</v>
      </c>
      <c r="B237" s="2" t="s">
        <v>332</v>
      </c>
      <c r="C237">
        <v>51</v>
      </c>
      <c r="D237" s="2" t="s">
        <v>385</v>
      </c>
      <c r="E237" s="2" t="s">
        <v>115</v>
      </c>
      <c r="F237" s="2" t="s">
        <v>115</v>
      </c>
      <c r="G237" s="2" t="s">
        <v>118</v>
      </c>
      <c r="H237" s="2" t="s">
        <v>274</v>
      </c>
      <c r="I237" s="2" t="s">
        <v>133</v>
      </c>
      <c r="J237" s="2" t="s">
        <v>334</v>
      </c>
      <c r="K237" t="b">
        <v>0</v>
      </c>
      <c r="L237" s="2" t="s">
        <v>130</v>
      </c>
    </row>
    <row r="238" spans="1:12" hidden="1" x14ac:dyDescent="0.3">
      <c r="A238" s="2" t="s">
        <v>8</v>
      </c>
      <c r="B238" s="2" t="s">
        <v>332</v>
      </c>
      <c r="C238">
        <v>52</v>
      </c>
      <c r="D238" s="2" t="s">
        <v>386</v>
      </c>
      <c r="E238" s="2" t="s">
        <v>116</v>
      </c>
      <c r="F238" s="2" t="s">
        <v>116</v>
      </c>
      <c r="G238" s="2" t="s">
        <v>118</v>
      </c>
      <c r="H238" s="2" t="s">
        <v>274</v>
      </c>
      <c r="I238" s="2" t="s">
        <v>133</v>
      </c>
      <c r="J238" s="2" t="s">
        <v>334</v>
      </c>
      <c r="K238" t="b">
        <v>0</v>
      </c>
      <c r="L238" s="2" t="s">
        <v>130</v>
      </c>
    </row>
    <row r="239" spans="1:12" hidden="1" x14ac:dyDescent="0.3">
      <c r="A239" s="2" t="s">
        <v>8</v>
      </c>
      <c r="B239" s="2" t="s">
        <v>332</v>
      </c>
      <c r="C239">
        <v>53</v>
      </c>
      <c r="D239" s="2" t="s">
        <v>387</v>
      </c>
      <c r="E239" s="2" t="s">
        <v>117</v>
      </c>
      <c r="F239" s="2" t="s">
        <v>117</v>
      </c>
      <c r="G239" s="2" t="s">
        <v>118</v>
      </c>
      <c r="H239" s="2" t="s">
        <v>274</v>
      </c>
      <c r="I239" s="2" t="s">
        <v>133</v>
      </c>
      <c r="J239" s="2" t="s">
        <v>334</v>
      </c>
      <c r="K239" t="b">
        <v>0</v>
      </c>
      <c r="L239" s="2" t="s">
        <v>130</v>
      </c>
    </row>
    <row r="240" spans="1:12" hidden="1" x14ac:dyDescent="0.3">
      <c r="A240" s="2" t="s">
        <v>8</v>
      </c>
      <c r="B240" s="2" t="s">
        <v>332</v>
      </c>
      <c r="C240">
        <v>54</v>
      </c>
      <c r="D240" s="2" t="s">
        <v>388</v>
      </c>
      <c r="E240" s="2" t="s">
        <v>127</v>
      </c>
      <c r="F240" s="2" t="s">
        <v>127</v>
      </c>
      <c r="G240" s="2" t="s">
        <v>85</v>
      </c>
      <c r="H240" s="2" t="s">
        <v>279</v>
      </c>
      <c r="I240" s="2" t="s">
        <v>133</v>
      </c>
      <c r="J240" s="2" t="s">
        <v>334</v>
      </c>
      <c r="K240" t="b">
        <v>0</v>
      </c>
      <c r="L240" s="2" t="s">
        <v>130</v>
      </c>
    </row>
    <row r="241" spans="1:12" hidden="1" x14ac:dyDescent="0.3">
      <c r="A241" s="2" t="s">
        <v>8</v>
      </c>
      <c r="B241" s="2" t="s">
        <v>332</v>
      </c>
      <c r="C241">
        <v>55</v>
      </c>
      <c r="D241" s="2" t="s">
        <v>389</v>
      </c>
      <c r="E241" s="2" t="s">
        <v>128</v>
      </c>
      <c r="F241" s="2" t="s">
        <v>128</v>
      </c>
      <c r="G241" s="2" t="s">
        <v>85</v>
      </c>
      <c r="H241" s="2" t="s">
        <v>279</v>
      </c>
      <c r="I241" s="2" t="s">
        <v>133</v>
      </c>
      <c r="J241" s="2" t="s">
        <v>334</v>
      </c>
      <c r="K241" t="b">
        <v>0</v>
      </c>
      <c r="L241" s="2" t="s">
        <v>130</v>
      </c>
    </row>
    <row r="242" spans="1:12" hidden="1" x14ac:dyDescent="0.3">
      <c r="A242" s="2" t="s">
        <v>8</v>
      </c>
      <c r="B242" s="2" t="s">
        <v>332</v>
      </c>
      <c r="C242">
        <v>56</v>
      </c>
      <c r="D242" s="2" t="s">
        <v>390</v>
      </c>
      <c r="E242" s="2" t="s">
        <v>125</v>
      </c>
      <c r="F242" s="2" t="s">
        <v>125</v>
      </c>
      <c r="G242" s="2" t="s">
        <v>85</v>
      </c>
      <c r="H242" s="2" t="s">
        <v>279</v>
      </c>
      <c r="I242" s="2" t="s">
        <v>133</v>
      </c>
      <c r="J242" s="2" t="s">
        <v>334</v>
      </c>
      <c r="K242" t="b">
        <v>0</v>
      </c>
      <c r="L242" s="2" t="s">
        <v>130</v>
      </c>
    </row>
    <row r="243" spans="1:12" hidden="1" x14ac:dyDescent="0.3">
      <c r="A243" s="2" t="s">
        <v>8</v>
      </c>
      <c r="B243" s="2" t="s">
        <v>332</v>
      </c>
      <c r="C243">
        <v>57</v>
      </c>
      <c r="D243" s="2" t="s">
        <v>391</v>
      </c>
      <c r="E243" s="2" t="s">
        <v>126</v>
      </c>
      <c r="F243" s="2" t="s">
        <v>126</v>
      </c>
      <c r="G243" s="2" t="s">
        <v>85</v>
      </c>
      <c r="H243" s="2" t="s">
        <v>279</v>
      </c>
      <c r="I243" s="2" t="s">
        <v>133</v>
      </c>
      <c r="J243" s="2" t="s">
        <v>334</v>
      </c>
      <c r="K243" t="b">
        <v>0</v>
      </c>
      <c r="L243" s="2" t="s">
        <v>130</v>
      </c>
    </row>
    <row r="244" spans="1:12" hidden="1" x14ac:dyDescent="0.3">
      <c r="A244" s="2" t="s">
        <v>8</v>
      </c>
      <c r="B244" s="2" t="s">
        <v>332</v>
      </c>
      <c r="C244">
        <v>58</v>
      </c>
      <c r="D244" s="2" t="s">
        <v>392</v>
      </c>
      <c r="E244" s="2" t="s">
        <v>129</v>
      </c>
      <c r="F244" s="2" t="s">
        <v>129</v>
      </c>
      <c r="G244" s="2" t="s">
        <v>85</v>
      </c>
      <c r="H244" s="2" t="s">
        <v>279</v>
      </c>
      <c r="I244" s="2" t="s">
        <v>133</v>
      </c>
      <c r="J244" s="2" t="s">
        <v>334</v>
      </c>
      <c r="K244" t="b">
        <v>0</v>
      </c>
      <c r="L244" s="2" t="s">
        <v>130</v>
      </c>
    </row>
    <row r="245" spans="1:12" hidden="1" x14ac:dyDescent="0.3">
      <c r="A245" s="2" t="s">
        <v>8</v>
      </c>
      <c r="B245" s="2" t="s">
        <v>332</v>
      </c>
      <c r="C245">
        <v>59</v>
      </c>
      <c r="D245" s="2" t="s">
        <v>393</v>
      </c>
      <c r="E245" s="2" t="s">
        <v>94</v>
      </c>
      <c r="F245" s="2" t="s">
        <v>94</v>
      </c>
      <c r="G245" s="2" t="s">
        <v>108</v>
      </c>
      <c r="H245" s="2" t="s">
        <v>289</v>
      </c>
      <c r="I245" s="2" t="s">
        <v>133</v>
      </c>
      <c r="J245" s="2" t="s">
        <v>334</v>
      </c>
      <c r="K245" t="b">
        <v>0</v>
      </c>
      <c r="L245" s="2" t="s">
        <v>130</v>
      </c>
    </row>
    <row r="246" spans="1:12" hidden="1" x14ac:dyDescent="0.3">
      <c r="A246" s="2" t="s">
        <v>8</v>
      </c>
      <c r="B246" s="2" t="s">
        <v>332</v>
      </c>
      <c r="C246">
        <v>60</v>
      </c>
      <c r="D246" s="2" t="s">
        <v>394</v>
      </c>
      <c r="E246" s="2" t="s">
        <v>95</v>
      </c>
      <c r="F246" s="2" t="s">
        <v>95</v>
      </c>
      <c r="G246" s="2" t="s">
        <v>108</v>
      </c>
      <c r="H246" s="2" t="s">
        <v>289</v>
      </c>
      <c r="I246" s="2" t="s">
        <v>133</v>
      </c>
      <c r="J246" s="2" t="s">
        <v>334</v>
      </c>
      <c r="K246" t="b">
        <v>0</v>
      </c>
      <c r="L246" s="2" t="s">
        <v>130</v>
      </c>
    </row>
    <row r="247" spans="1:12" hidden="1" x14ac:dyDescent="0.3">
      <c r="A247" s="2" t="s">
        <v>8</v>
      </c>
      <c r="B247" s="2" t="s">
        <v>332</v>
      </c>
      <c r="C247">
        <v>61</v>
      </c>
      <c r="D247" s="2" t="s">
        <v>395</v>
      </c>
      <c r="E247" s="2" t="s">
        <v>96</v>
      </c>
      <c r="F247" s="2" t="s">
        <v>96</v>
      </c>
      <c r="G247" s="2" t="s">
        <v>108</v>
      </c>
      <c r="H247" s="2" t="s">
        <v>289</v>
      </c>
      <c r="I247" s="2" t="s">
        <v>133</v>
      </c>
      <c r="J247" s="2" t="s">
        <v>334</v>
      </c>
      <c r="K247" t="b">
        <v>0</v>
      </c>
      <c r="L247" s="2" t="s">
        <v>130</v>
      </c>
    </row>
    <row r="248" spans="1:12" hidden="1" x14ac:dyDescent="0.3">
      <c r="A248" s="2" t="s">
        <v>8</v>
      </c>
      <c r="B248" s="2" t="s">
        <v>332</v>
      </c>
      <c r="C248">
        <v>62</v>
      </c>
      <c r="D248" s="2" t="s">
        <v>396</v>
      </c>
      <c r="E248" s="2" t="s">
        <v>86</v>
      </c>
      <c r="F248" s="2" t="s">
        <v>86</v>
      </c>
      <c r="G248" s="2" t="s">
        <v>108</v>
      </c>
      <c r="H248" s="2" t="s">
        <v>289</v>
      </c>
      <c r="I248" s="2" t="s">
        <v>133</v>
      </c>
      <c r="J248" s="2" t="s">
        <v>334</v>
      </c>
      <c r="K248" t="b">
        <v>0</v>
      </c>
      <c r="L248" s="2" t="s">
        <v>130</v>
      </c>
    </row>
    <row r="249" spans="1:12" hidden="1" x14ac:dyDescent="0.3">
      <c r="A249" s="2" t="s">
        <v>8</v>
      </c>
      <c r="B249" s="2" t="s">
        <v>332</v>
      </c>
      <c r="C249">
        <v>63</v>
      </c>
      <c r="D249" s="2" t="s">
        <v>397</v>
      </c>
      <c r="E249" s="2" t="s">
        <v>87</v>
      </c>
      <c r="F249" s="2" t="s">
        <v>87</v>
      </c>
      <c r="G249" s="2" t="s">
        <v>108</v>
      </c>
      <c r="H249" s="2" t="s">
        <v>289</v>
      </c>
      <c r="I249" s="2" t="s">
        <v>133</v>
      </c>
      <c r="J249" s="2" t="s">
        <v>334</v>
      </c>
      <c r="K249" t="b">
        <v>0</v>
      </c>
      <c r="L249" s="2" t="s">
        <v>130</v>
      </c>
    </row>
    <row r="250" spans="1:12" hidden="1" x14ac:dyDescent="0.3">
      <c r="A250" s="2" t="s">
        <v>8</v>
      </c>
      <c r="B250" s="2" t="s">
        <v>332</v>
      </c>
      <c r="C250">
        <v>64</v>
      </c>
      <c r="D250" s="2" t="s">
        <v>398</v>
      </c>
      <c r="E250" s="2" t="s">
        <v>97</v>
      </c>
      <c r="F250" s="2" t="s">
        <v>97</v>
      </c>
      <c r="G250" s="2" t="s">
        <v>108</v>
      </c>
      <c r="H250" s="2" t="s">
        <v>289</v>
      </c>
      <c r="I250" s="2" t="s">
        <v>133</v>
      </c>
      <c r="J250" s="2" t="s">
        <v>334</v>
      </c>
      <c r="K250" t="b">
        <v>0</v>
      </c>
      <c r="L250" s="2" t="s">
        <v>130</v>
      </c>
    </row>
    <row r="251" spans="1:12" hidden="1" x14ac:dyDescent="0.3">
      <c r="A251" s="2" t="s">
        <v>8</v>
      </c>
      <c r="B251" s="2" t="s">
        <v>332</v>
      </c>
      <c r="C251">
        <v>65</v>
      </c>
      <c r="D251" s="2" t="s">
        <v>399</v>
      </c>
      <c r="E251" s="2" t="s">
        <v>98</v>
      </c>
      <c r="F251" s="2" t="s">
        <v>98</v>
      </c>
      <c r="G251" s="2" t="s">
        <v>108</v>
      </c>
      <c r="H251" s="2" t="s">
        <v>289</v>
      </c>
      <c r="I251" s="2" t="s">
        <v>133</v>
      </c>
      <c r="J251" s="2" t="s">
        <v>334</v>
      </c>
      <c r="K251" t="b">
        <v>0</v>
      </c>
      <c r="L251" s="2" t="s">
        <v>130</v>
      </c>
    </row>
    <row r="252" spans="1:12" hidden="1" x14ac:dyDescent="0.3">
      <c r="A252" s="2" t="s">
        <v>8</v>
      </c>
      <c r="B252" s="2" t="s">
        <v>332</v>
      </c>
      <c r="C252">
        <v>66</v>
      </c>
      <c r="D252" s="2" t="s">
        <v>400</v>
      </c>
      <c r="E252" s="2" t="s">
        <v>88</v>
      </c>
      <c r="F252" s="2" t="s">
        <v>88</v>
      </c>
      <c r="G252" s="2" t="s">
        <v>108</v>
      </c>
      <c r="H252" s="2" t="s">
        <v>289</v>
      </c>
      <c r="I252" s="2" t="s">
        <v>133</v>
      </c>
      <c r="J252" s="2" t="s">
        <v>334</v>
      </c>
      <c r="K252" t="b">
        <v>0</v>
      </c>
      <c r="L252" s="2" t="s">
        <v>130</v>
      </c>
    </row>
    <row r="253" spans="1:12" hidden="1" x14ac:dyDescent="0.3">
      <c r="A253" s="2" t="s">
        <v>8</v>
      </c>
      <c r="B253" s="2" t="s">
        <v>332</v>
      </c>
      <c r="C253">
        <v>67</v>
      </c>
      <c r="D253" s="2" t="s">
        <v>401</v>
      </c>
      <c r="E253" s="2" t="s">
        <v>89</v>
      </c>
      <c r="F253" s="2" t="s">
        <v>89</v>
      </c>
      <c r="G253" s="2" t="s">
        <v>108</v>
      </c>
      <c r="H253" s="2" t="s">
        <v>289</v>
      </c>
      <c r="I253" s="2" t="s">
        <v>133</v>
      </c>
      <c r="J253" s="2" t="s">
        <v>334</v>
      </c>
      <c r="K253" t="b">
        <v>0</v>
      </c>
      <c r="L253" s="2" t="s">
        <v>130</v>
      </c>
    </row>
    <row r="254" spans="1:12" hidden="1" x14ac:dyDescent="0.3">
      <c r="A254" s="2" t="s">
        <v>8</v>
      </c>
      <c r="B254" s="2" t="s">
        <v>332</v>
      </c>
      <c r="C254">
        <v>68</v>
      </c>
      <c r="D254" s="2" t="s">
        <v>402</v>
      </c>
      <c r="E254" s="2" t="s">
        <v>89</v>
      </c>
      <c r="F254" s="2" t="s">
        <v>89</v>
      </c>
      <c r="G254" s="2" t="s">
        <v>108</v>
      </c>
      <c r="H254" s="2" t="s">
        <v>289</v>
      </c>
      <c r="I254" s="2" t="s">
        <v>133</v>
      </c>
      <c r="J254" s="2" t="s">
        <v>334</v>
      </c>
      <c r="K254" t="b">
        <v>0</v>
      </c>
      <c r="L254" s="2" t="s">
        <v>130</v>
      </c>
    </row>
    <row r="255" spans="1:12" hidden="1" x14ac:dyDescent="0.3">
      <c r="A255" s="2" t="s">
        <v>8</v>
      </c>
      <c r="B255" s="2" t="s">
        <v>332</v>
      </c>
      <c r="C255">
        <v>69</v>
      </c>
      <c r="D255" s="2" t="s">
        <v>403</v>
      </c>
      <c r="E255" s="2" t="s">
        <v>100</v>
      </c>
      <c r="F255" s="2" t="s">
        <v>100</v>
      </c>
      <c r="G255" s="2" t="s">
        <v>108</v>
      </c>
      <c r="H255" s="2" t="s">
        <v>289</v>
      </c>
      <c r="I255" s="2" t="s">
        <v>133</v>
      </c>
      <c r="J255" s="2" t="s">
        <v>334</v>
      </c>
      <c r="K255" t="b">
        <v>0</v>
      </c>
      <c r="L255" s="2" t="s">
        <v>130</v>
      </c>
    </row>
    <row r="256" spans="1:12" hidden="1" x14ac:dyDescent="0.3">
      <c r="A256" s="2" t="s">
        <v>8</v>
      </c>
      <c r="B256" s="2" t="s">
        <v>332</v>
      </c>
      <c r="C256">
        <v>70</v>
      </c>
      <c r="D256" s="2" t="s">
        <v>404</v>
      </c>
      <c r="E256" s="2" t="s">
        <v>99</v>
      </c>
      <c r="F256" s="2" t="s">
        <v>99</v>
      </c>
      <c r="G256" s="2" t="s">
        <v>108</v>
      </c>
      <c r="H256" s="2" t="s">
        <v>289</v>
      </c>
      <c r="I256" s="2" t="s">
        <v>133</v>
      </c>
      <c r="J256" s="2" t="s">
        <v>334</v>
      </c>
      <c r="K256" t="b">
        <v>0</v>
      </c>
      <c r="L256" s="2" t="s">
        <v>130</v>
      </c>
    </row>
    <row r="257" spans="1:12" hidden="1" x14ac:dyDescent="0.3">
      <c r="A257" s="2" t="s">
        <v>8</v>
      </c>
      <c r="B257" s="2" t="s">
        <v>332</v>
      </c>
      <c r="C257">
        <v>71</v>
      </c>
      <c r="D257" s="2" t="s">
        <v>405</v>
      </c>
      <c r="E257" s="2" t="s">
        <v>90</v>
      </c>
      <c r="F257" s="2" t="s">
        <v>90</v>
      </c>
      <c r="G257" s="2" t="s">
        <v>108</v>
      </c>
      <c r="H257" s="2" t="s">
        <v>289</v>
      </c>
      <c r="I257" s="2" t="s">
        <v>133</v>
      </c>
      <c r="J257" s="2" t="s">
        <v>334</v>
      </c>
      <c r="K257" t="b">
        <v>0</v>
      </c>
      <c r="L257" s="2" t="s">
        <v>130</v>
      </c>
    </row>
    <row r="258" spans="1:12" hidden="1" x14ac:dyDescent="0.3">
      <c r="A258" s="2" t="s">
        <v>8</v>
      </c>
      <c r="B258" s="2" t="s">
        <v>332</v>
      </c>
      <c r="C258">
        <v>72</v>
      </c>
      <c r="D258" s="2" t="s">
        <v>406</v>
      </c>
      <c r="E258" s="2" t="s">
        <v>101</v>
      </c>
      <c r="F258" s="2" t="s">
        <v>101</v>
      </c>
      <c r="G258" s="2" t="s">
        <v>108</v>
      </c>
      <c r="H258" s="2" t="s">
        <v>289</v>
      </c>
      <c r="I258" s="2" t="s">
        <v>133</v>
      </c>
      <c r="J258" s="2" t="s">
        <v>334</v>
      </c>
      <c r="K258" t="b">
        <v>0</v>
      </c>
      <c r="L258" s="2" t="s">
        <v>130</v>
      </c>
    </row>
    <row r="259" spans="1:12" hidden="1" x14ac:dyDescent="0.3">
      <c r="A259" s="2" t="s">
        <v>8</v>
      </c>
      <c r="B259" s="2" t="s">
        <v>332</v>
      </c>
      <c r="C259">
        <v>73</v>
      </c>
      <c r="D259" s="2" t="s">
        <v>407</v>
      </c>
      <c r="E259" s="2" t="s">
        <v>102</v>
      </c>
      <c r="F259" s="2" t="s">
        <v>102</v>
      </c>
      <c r="G259" s="2" t="s">
        <v>108</v>
      </c>
      <c r="H259" s="2" t="s">
        <v>289</v>
      </c>
      <c r="I259" s="2" t="s">
        <v>133</v>
      </c>
      <c r="J259" s="2" t="s">
        <v>334</v>
      </c>
      <c r="K259" t="b">
        <v>0</v>
      </c>
      <c r="L259" s="2" t="s">
        <v>130</v>
      </c>
    </row>
    <row r="260" spans="1:12" hidden="1" x14ac:dyDescent="0.3">
      <c r="A260" s="2" t="s">
        <v>8</v>
      </c>
      <c r="B260" s="2" t="s">
        <v>332</v>
      </c>
      <c r="C260">
        <v>74</v>
      </c>
      <c r="D260" s="2" t="s">
        <v>408</v>
      </c>
      <c r="E260" s="2" t="s">
        <v>103</v>
      </c>
      <c r="F260" s="2" t="s">
        <v>103</v>
      </c>
      <c r="G260" s="2" t="s">
        <v>108</v>
      </c>
      <c r="H260" s="2" t="s">
        <v>289</v>
      </c>
      <c r="I260" s="2" t="s">
        <v>133</v>
      </c>
      <c r="J260" s="2" t="s">
        <v>334</v>
      </c>
      <c r="K260" t="b">
        <v>0</v>
      </c>
      <c r="L260" s="2" t="s">
        <v>130</v>
      </c>
    </row>
    <row r="261" spans="1:12" hidden="1" x14ac:dyDescent="0.3">
      <c r="A261" s="2" t="s">
        <v>8</v>
      </c>
      <c r="B261" s="2" t="s">
        <v>332</v>
      </c>
      <c r="C261">
        <v>75</v>
      </c>
      <c r="D261" s="2" t="s">
        <v>409</v>
      </c>
      <c r="E261" s="2" t="s">
        <v>104</v>
      </c>
      <c r="F261" s="2" t="s">
        <v>104</v>
      </c>
      <c r="G261" s="2" t="s">
        <v>108</v>
      </c>
      <c r="H261" s="2" t="s">
        <v>289</v>
      </c>
      <c r="I261" s="2" t="s">
        <v>133</v>
      </c>
      <c r="J261" s="2" t="s">
        <v>334</v>
      </c>
      <c r="K261" t="b">
        <v>0</v>
      </c>
      <c r="L261" s="2" t="s">
        <v>130</v>
      </c>
    </row>
    <row r="262" spans="1:12" hidden="1" x14ac:dyDescent="0.3">
      <c r="A262" s="2" t="s">
        <v>8</v>
      </c>
      <c r="B262" s="2" t="s">
        <v>332</v>
      </c>
      <c r="C262">
        <v>76</v>
      </c>
      <c r="D262" s="2" t="s">
        <v>410</v>
      </c>
      <c r="E262" s="2" t="s">
        <v>105</v>
      </c>
      <c r="F262" s="2" t="s">
        <v>105</v>
      </c>
      <c r="G262" s="2" t="s">
        <v>108</v>
      </c>
      <c r="H262" s="2" t="s">
        <v>289</v>
      </c>
      <c r="I262" s="2" t="s">
        <v>133</v>
      </c>
      <c r="J262" s="2" t="s">
        <v>334</v>
      </c>
      <c r="K262" t="b">
        <v>0</v>
      </c>
      <c r="L262" s="2" t="s">
        <v>130</v>
      </c>
    </row>
    <row r="263" spans="1:12" hidden="1" x14ac:dyDescent="0.3">
      <c r="A263" s="2" t="s">
        <v>8</v>
      </c>
      <c r="B263" s="2" t="s">
        <v>332</v>
      </c>
      <c r="C263">
        <v>77</v>
      </c>
      <c r="D263" s="2" t="s">
        <v>411</v>
      </c>
      <c r="E263" s="2" t="s">
        <v>91</v>
      </c>
      <c r="F263" s="2" t="s">
        <v>91</v>
      </c>
      <c r="G263" s="2" t="s">
        <v>108</v>
      </c>
      <c r="H263" s="2" t="s">
        <v>289</v>
      </c>
      <c r="I263" s="2" t="s">
        <v>133</v>
      </c>
      <c r="J263" s="2" t="s">
        <v>334</v>
      </c>
      <c r="K263" t="b">
        <v>0</v>
      </c>
      <c r="L263" s="2" t="s">
        <v>130</v>
      </c>
    </row>
    <row r="264" spans="1:12" hidden="1" x14ac:dyDescent="0.3">
      <c r="A264" s="2" t="s">
        <v>8</v>
      </c>
      <c r="B264" s="2" t="s">
        <v>332</v>
      </c>
      <c r="C264">
        <v>78</v>
      </c>
      <c r="D264" s="2" t="s">
        <v>412</v>
      </c>
      <c r="E264" s="2" t="s">
        <v>91</v>
      </c>
      <c r="F264" s="2" t="s">
        <v>91</v>
      </c>
      <c r="G264" s="2" t="s">
        <v>108</v>
      </c>
      <c r="H264" s="2" t="s">
        <v>289</v>
      </c>
      <c r="I264" s="2" t="s">
        <v>133</v>
      </c>
      <c r="J264" s="2" t="s">
        <v>334</v>
      </c>
      <c r="K264" t="b">
        <v>0</v>
      </c>
      <c r="L264" s="2" t="s">
        <v>130</v>
      </c>
    </row>
    <row r="265" spans="1:12" hidden="1" x14ac:dyDescent="0.3">
      <c r="A265" s="2" t="s">
        <v>8</v>
      </c>
      <c r="B265" s="2" t="s">
        <v>332</v>
      </c>
      <c r="C265">
        <v>79</v>
      </c>
      <c r="D265" s="2" t="s">
        <v>413</v>
      </c>
      <c r="E265" s="2" t="s">
        <v>92</v>
      </c>
      <c r="F265" s="2" t="s">
        <v>92</v>
      </c>
      <c r="G265" s="2" t="s">
        <v>108</v>
      </c>
      <c r="H265" s="2" t="s">
        <v>289</v>
      </c>
      <c r="I265" s="2" t="s">
        <v>133</v>
      </c>
      <c r="J265" s="2" t="s">
        <v>334</v>
      </c>
      <c r="K265" t="b">
        <v>0</v>
      </c>
      <c r="L265" s="2" t="s">
        <v>130</v>
      </c>
    </row>
    <row r="266" spans="1:12" hidden="1" x14ac:dyDescent="0.3">
      <c r="A266" s="2" t="s">
        <v>8</v>
      </c>
      <c r="B266" s="2" t="s">
        <v>332</v>
      </c>
      <c r="C266">
        <v>80</v>
      </c>
      <c r="D266" s="2" t="s">
        <v>414</v>
      </c>
      <c r="E266" s="2" t="s">
        <v>93</v>
      </c>
      <c r="F266" s="2" t="s">
        <v>93</v>
      </c>
      <c r="G266" s="2" t="s">
        <v>108</v>
      </c>
      <c r="H266" s="2" t="s">
        <v>289</v>
      </c>
      <c r="I266" s="2" t="s">
        <v>133</v>
      </c>
      <c r="J266" s="2" t="s">
        <v>334</v>
      </c>
      <c r="K266" t="b">
        <v>0</v>
      </c>
      <c r="L266" s="2" t="s">
        <v>130</v>
      </c>
    </row>
    <row r="267" spans="1:12" hidden="1" x14ac:dyDescent="0.3">
      <c r="A267" s="2" t="s">
        <v>8</v>
      </c>
      <c r="B267" s="2" t="s">
        <v>332</v>
      </c>
      <c r="C267">
        <v>81</v>
      </c>
      <c r="D267" s="2" t="s">
        <v>415</v>
      </c>
      <c r="E267" s="2" t="s">
        <v>106</v>
      </c>
      <c r="F267" s="2" t="s">
        <v>106</v>
      </c>
      <c r="G267" s="2" t="s">
        <v>108</v>
      </c>
      <c r="H267" s="2" t="s">
        <v>289</v>
      </c>
      <c r="I267" s="2" t="s">
        <v>133</v>
      </c>
      <c r="J267" s="2" t="s">
        <v>334</v>
      </c>
      <c r="K267" t="b">
        <v>0</v>
      </c>
      <c r="L267" s="2" t="s">
        <v>130</v>
      </c>
    </row>
    <row r="268" spans="1:12" hidden="1" x14ac:dyDescent="0.3">
      <c r="A268" s="2" t="s">
        <v>8</v>
      </c>
      <c r="B268" s="2" t="s">
        <v>332</v>
      </c>
      <c r="C268">
        <v>82</v>
      </c>
      <c r="D268" s="2" t="s">
        <v>416</v>
      </c>
      <c r="E268" s="2" t="s">
        <v>107</v>
      </c>
      <c r="F268" s="2" t="s">
        <v>107</v>
      </c>
      <c r="G268" s="2" t="s">
        <v>108</v>
      </c>
      <c r="H268" s="2" t="s">
        <v>289</v>
      </c>
      <c r="I268" s="2" t="s">
        <v>133</v>
      </c>
      <c r="J268" s="2" t="s">
        <v>334</v>
      </c>
      <c r="K268" t="b">
        <v>0</v>
      </c>
      <c r="L268" s="2" t="s">
        <v>130</v>
      </c>
    </row>
    <row r="269" spans="1:12" hidden="1" x14ac:dyDescent="0.3">
      <c r="A269" s="2" t="s">
        <v>8</v>
      </c>
      <c r="B269" s="2" t="s">
        <v>332</v>
      </c>
      <c r="C269">
        <v>83</v>
      </c>
      <c r="D269" s="2" t="s">
        <v>417</v>
      </c>
      <c r="E269" s="2" t="s">
        <v>73</v>
      </c>
      <c r="F269" s="2" t="s">
        <v>73</v>
      </c>
      <c r="G269" s="2" t="s">
        <v>74</v>
      </c>
      <c r="H269" s="2" t="s">
        <v>320</v>
      </c>
      <c r="I269" s="2" t="s">
        <v>133</v>
      </c>
      <c r="J269" s="2" t="s">
        <v>334</v>
      </c>
      <c r="K269" t="b">
        <v>0</v>
      </c>
      <c r="L269" s="2" t="s">
        <v>130</v>
      </c>
    </row>
    <row r="270" spans="1:12" hidden="1" x14ac:dyDescent="0.3">
      <c r="A270" s="2" t="s">
        <v>8</v>
      </c>
      <c r="B270" s="2" t="s">
        <v>332</v>
      </c>
      <c r="C270">
        <v>84</v>
      </c>
      <c r="D270" s="2" t="s">
        <v>418</v>
      </c>
      <c r="E270" s="2" t="s">
        <v>75</v>
      </c>
      <c r="F270" s="2" t="s">
        <v>75</v>
      </c>
      <c r="G270" s="2" t="s">
        <v>74</v>
      </c>
      <c r="H270" s="2" t="s">
        <v>320</v>
      </c>
      <c r="I270" s="2" t="s">
        <v>133</v>
      </c>
      <c r="J270" s="2" t="s">
        <v>334</v>
      </c>
      <c r="K270" t="b">
        <v>0</v>
      </c>
      <c r="L270" s="2" t="s">
        <v>130</v>
      </c>
    </row>
    <row r="271" spans="1:12" hidden="1" x14ac:dyDescent="0.3">
      <c r="A271" s="2" t="s">
        <v>8</v>
      </c>
      <c r="B271" s="2" t="s">
        <v>332</v>
      </c>
      <c r="C271">
        <v>85</v>
      </c>
      <c r="D271" s="2" t="s">
        <v>419</v>
      </c>
      <c r="E271" s="2" t="s">
        <v>76</v>
      </c>
      <c r="F271" s="2" t="s">
        <v>76</v>
      </c>
      <c r="G271" s="2" t="s">
        <v>74</v>
      </c>
      <c r="H271" s="2" t="s">
        <v>320</v>
      </c>
      <c r="I271" s="2" t="s">
        <v>133</v>
      </c>
      <c r="J271" s="2" t="s">
        <v>334</v>
      </c>
      <c r="K271" t="b">
        <v>0</v>
      </c>
      <c r="L271" s="2" t="s">
        <v>130</v>
      </c>
    </row>
    <row r="272" spans="1:12" hidden="1" x14ac:dyDescent="0.3">
      <c r="A272" s="2" t="s">
        <v>8</v>
      </c>
      <c r="B272" s="2" t="s">
        <v>332</v>
      </c>
      <c r="C272">
        <v>86</v>
      </c>
      <c r="D272" s="2" t="s">
        <v>420</v>
      </c>
      <c r="E272" s="2" t="s">
        <v>78</v>
      </c>
      <c r="F272" s="2" t="s">
        <v>78</v>
      </c>
      <c r="G272" s="2" t="s">
        <v>80</v>
      </c>
      <c r="H272" s="2" t="s">
        <v>324</v>
      </c>
      <c r="I272" s="2" t="s">
        <v>133</v>
      </c>
      <c r="J272" s="2" t="s">
        <v>334</v>
      </c>
      <c r="K272" t="b">
        <v>0</v>
      </c>
      <c r="L272" s="2" t="s">
        <v>130</v>
      </c>
    </row>
    <row r="273" spans="1:12" hidden="1" x14ac:dyDescent="0.3">
      <c r="A273" s="2" t="s">
        <v>8</v>
      </c>
      <c r="B273" s="2" t="s">
        <v>332</v>
      </c>
      <c r="C273">
        <v>87</v>
      </c>
      <c r="D273" s="2" t="s">
        <v>421</v>
      </c>
      <c r="E273" s="2" t="s">
        <v>79</v>
      </c>
      <c r="F273" s="2" t="s">
        <v>79</v>
      </c>
      <c r="G273" s="2" t="s">
        <v>80</v>
      </c>
      <c r="H273" s="2" t="s">
        <v>324</v>
      </c>
      <c r="I273" s="2" t="s">
        <v>133</v>
      </c>
      <c r="J273" s="2" t="s">
        <v>334</v>
      </c>
      <c r="K273" t="b">
        <v>0</v>
      </c>
      <c r="L273" s="2" t="s">
        <v>130</v>
      </c>
    </row>
    <row r="274" spans="1:12" hidden="1" x14ac:dyDescent="0.3">
      <c r="A274" s="2" t="s">
        <v>8</v>
      </c>
      <c r="B274" s="2" t="s">
        <v>332</v>
      </c>
      <c r="C274">
        <v>88</v>
      </c>
      <c r="D274" s="2" t="s">
        <v>422</v>
      </c>
      <c r="E274" s="2" t="s">
        <v>11</v>
      </c>
      <c r="F274" s="2" t="s">
        <v>11</v>
      </c>
      <c r="G274" s="2" t="s">
        <v>80</v>
      </c>
      <c r="H274" s="2" t="s">
        <v>324</v>
      </c>
      <c r="I274" s="2" t="s">
        <v>133</v>
      </c>
      <c r="J274" s="2" t="s">
        <v>334</v>
      </c>
      <c r="K274" t="b">
        <v>0</v>
      </c>
      <c r="L274" s="2" t="s">
        <v>130</v>
      </c>
    </row>
    <row r="275" spans="1:12" hidden="1" x14ac:dyDescent="0.3">
      <c r="A275" s="2" t="s">
        <v>8</v>
      </c>
      <c r="B275" s="2" t="s">
        <v>332</v>
      </c>
      <c r="C275">
        <v>89</v>
      </c>
      <c r="D275" s="2" t="s">
        <v>423</v>
      </c>
      <c r="E275" s="2" t="s">
        <v>25</v>
      </c>
      <c r="F275" s="2" t="s">
        <v>25</v>
      </c>
      <c r="G275" s="2" t="s">
        <v>80</v>
      </c>
      <c r="H275" s="2" t="s">
        <v>324</v>
      </c>
      <c r="I275" s="2" t="s">
        <v>133</v>
      </c>
      <c r="J275" s="2" t="s">
        <v>334</v>
      </c>
      <c r="K275" t="b">
        <v>0</v>
      </c>
      <c r="L275" s="2" t="s">
        <v>130</v>
      </c>
    </row>
    <row r="276" spans="1:12" hidden="1" x14ac:dyDescent="0.3">
      <c r="A276" s="2" t="s">
        <v>8</v>
      </c>
      <c r="B276" s="2" t="s">
        <v>332</v>
      </c>
      <c r="C276">
        <v>90</v>
      </c>
      <c r="D276" s="2" t="s">
        <v>424</v>
      </c>
      <c r="E276" s="2" t="s">
        <v>26</v>
      </c>
      <c r="F276" s="2" t="s">
        <v>26</v>
      </c>
      <c r="G276" s="2" t="s">
        <v>80</v>
      </c>
      <c r="H276" s="2" t="s">
        <v>324</v>
      </c>
      <c r="I276" s="2" t="s">
        <v>133</v>
      </c>
      <c r="J276" s="2" t="s">
        <v>334</v>
      </c>
      <c r="K276" t="b">
        <v>0</v>
      </c>
      <c r="L276" s="2" t="s">
        <v>130</v>
      </c>
    </row>
    <row r="277" spans="1:12" hidden="1" x14ac:dyDescent="0.3">
      <c r="A277" s="2" t="s">
        <v>8</v>
      </c>
      <c r="B277" s="2" t="s">
        <v>332</v>
      </c>
      <c r="C277">
        <v>91</v>
      </c>
      <c r="D277" s="2" t="s">
        <v>425</v>
      </c>
      <c r="E277" s="2" t="s">
        <v>27</v>
      </c>
      <c r="F277" s="2" t="s">
        <v>27</v>
      </c>
      <c r="G277" s="2" t="s">
        <v>80</v>
      </c>
      <c r="H277" s="2" t="s">
        <v>324</v>
      </c>
      <c r="I277" s="2" t="s">
        <v>133</v>
      </c>
      <c r="J277" s="2" t="s">
        <v>334</v>
      </c>
      <c r="K277" t="b">
        <v>0</v>
      </c>
      <c r="L277" s="2" t="s">
        <v>130</v>
      </c>
    </row>
    <row r="278" spans="1:12" hidden="1" x14ac:dyDescent="0.3">
      <c r="A278" s="2" t="s">
        <v>8</v>
      </c>
      <c r="B278" s="2" t="s">
        <v>332</v>
      </c>
      <c r="C278">
        <v>92</v>
      </c>
      <c r="D278" s="2" t="s">
        <v>426</v>
      </c>
      <c r="E278" s="2" t="s">
        <v>47</v>
      </c>
      <c r="F278" s="2" t="s">
        <v>47</v>
      </c>
      <c r="G278" s="2" t="s">
        <v>80</v>
      </c>
      <c r="H278" s="2" t="s">
        <v>324</v>
      </c>
      <c r="I278" s="2" t="s">
        <v>133</v>
      </c>
      <c r="J278" s="2" t="s">
        <v>334</v>
      </c>
      <c r="K278" t="b">
        <v>0</v>
      </c>
      <c r="L278" s="2" t="s">
        <v>130</v>
      </c>
    </row>
    <row r="279" spans="1:12" hidden="1" x14ac:dyDescent="0.3">
      <c r="A279" s="2" t="s">
        <v>8</v>
      </c>
      <c r="B279" s="2" t="s">
        <v>332</v>
      </c>
      <c r="C279">
        <v>93</v>
      </c>
      <c r="D279" s="2" t="s">
        <v>427</v>
      </c>
      <c r="E279" s="2" t="s">
        <v>122</v>
      </c>
      <c r="F279" s="2" t="s">
        <v>122</v>
      </c>
      <c r="G279" s="2" t="s">
        <v>80</v>
      </c>
      <c r="H279" s="2" t="s">
        <v>324</v>
      </c>
      <c r="I279" s="2" t="s">
        <v>133</v>
      </c>
      <c r="J279" s="2" t="s">
        <v>334</v>
      </c>
      <c r="K279" t="b">
        <v>0</v>
      </c>
      <c r="L279" s="2" t="s">
        <v>130</v>
      </c>
    </row>
    <row r="280" spans="1:12" hidden="1" x14ac:dyDescent="0.3">
      <c r="A280" s="2" t="s">
        <v>8</v>
      </c>
      <c r="B280" s="2" t="s">
        <v>332</v>
      </c>
      <c r="C280">
        <v>94</v>
      </c>
      <c r="D280" s="2" t="s">
        <v>428</v>
      </c>
      <c r="E280" s="2" t="s">
        <v>24</v>
      </c>
      <c r="F280" s="2" t="s">
        <v>24</v>
      </c>
      <c r="G280" s="2" t="s">
        <v>80</v>
      </c>
      <c r="H280" s="2" t="s">
        <v>324</v>
      </c>
      <c r="I280" s="2" t="s">
        <v>133</v>
      </c>
      <c r="J280" s="2" t="s">
        <v>334</v>
      </c>
      <c r="K280" t="b">
        <v>0</v>
      </c>
      <c r="L280" s="2" t="s">
        <v>130</v>
      </c>
    </row>
    <row r="281" spans="1:12" hidden="1" x14ac:dyDescent="0.3">
      <c r="A281" s="2" t="s">
        <v>8</v>
      </c>
      <c r="B281" s="2"/>
      <c r="D281" s="2" t="s">
        <v>429</v>
      </c>
      <c r="E281" s="2"/>
      <c r="F281" s="2" t="s">
        <v>430</v>
      </c>
      <c r="G281" s="2"/>
      <c r="H281" s="2"/>
      <c r="I281" s="2" t="s">
        <v>133</v>
      </c>
      <c r="J281" s="2"/>
      <c r="K281" t="b">
        <v>0</v>
      </c>
      <c r="L281" s="2" t="s">
        <v>130</v>
      </c>
    </row>
    <row r="282" spans="1:12" hidden="1" x14ac:dyDescent="0.3">
      <c r="A282" s="2" t="s">
        <v>8</v>
      </c>
      <c r="B282" s="2"/>
      <c r="D282" s="2" t="s">
        <v>429</v>
      </c>
      <c r="E282" s="2"/>
      <c r="F282" s="2" t="s">
        <v>430</v>
      </c>
      <c r="G282" s="2"/>
      <c r="H282" s="2"/>
      <c r="I282" s="2" t="s">
        <v>133</v>
      </c>
      <c r="J282" s="2"/>
      <c r="K282" t="b">
        <v>0</v>
      </c>
      <c r="L282" s="2" t="s">
        <v>130</v>
      </c>
    </row>
    <row r="283" spans="1:12" hidden="1" x14ac:dyDescent="0.3">
      <c r="A283" s="2" t="s">
        <v>8</v>
      </c>
      <c r="B283" s="2"/>
      <c r="D283" s="2" t="s">
        <v>429</v>
      </c>
      <c r="E283" s="2"/>
      <c r="F283" s="2" t="s">
        <v>430</v>
      </c>
      <c r="G283" s="2"/>
      <c r="H283" s="2"/>
      <c r="I283" s="2" t="s">
        <v>133</v>
      </c>
      <c r="J283" s="2"/>
      <c r="K283" t="b">
        <v>0</v>
      </c>
      <c r="L283" s="2" t="s">
        <v>130</v>
      </c>
    </row>
    <row r="284" spans="1:12" hidden="1" x14ac:dyDescent="0.3">
      <c r="A284" s="2" t="s">
        <v>8</v>
      </c>
      <c r="B284" s="2"/>
      <c r="D284" s="2" t="s">
        <v>429</v>
      </c>
      <c r="E284" s="2"/>
      <c r="F284" s="2" t="s">
        <v>430</v>
      </c>
      <c r="G284" s="2"/>
      <c r="H284" s="2"/>
      <c r="I284" s="2" t="s">
        <v>133</v>
      </c>
      <c r="J284" s="2"/>
      <c r="K284" t="b">
        <v>0</v>
      </c>
      <c r="L284" s="2" t="s">
        <v>130</v>
      </c>
    </row>
    <row r="285" spans="1:12" hidden="1" x14ac:dyDescent="0.3">
      <c r="A285" s="2" t="s">
        <v>8</v>
      </c>
      <c r="B285" s="2"/>
      <c r="D285" s="2" t="s">
        <v>429</v>
      </c>
      <c r="E285" s="2"/>
      <c r="F285" s="2" t="s">
        <v>430</v>
      </c>
      <c r="G285" s="2"/>
      <c r="H285" s="2"/>
      <c r="I285" s="2" t="s">
        <v>133</v>
      </c>
      <c r="J285" s="2"/>
      <c r="K285" t="b">
        <v>0</v>
      </c>
      <c r="L285" s="2" t="s">
        <v>130</v>
      </c>
    </row>
    <row r="286" spans="1:12" hidden="1" x14ac:dyDescent="0.3">
      <c r="A286" s="2" t="s">
        <v>8</v>
      </c>
      <c r="B286" s="2"/>
      <c r="D286" s="2" t="s">
        <v>429</v>
      </c>
      <c r="E286" s="2"/>
      <c r="F286" s="2" t="s">
        <v>430</v>
      </c>
      <c r="G286" s="2"/>
      <c r="H286" s="2"/>
      <c r="I286" s="2" t="s">
        <v>133</v>
      </c>
      <c r="J286" s="2"/>
      <c r="K286" t="b">
        <v>0</v>
      </c>
      <c r="L286" s="2" t="s">
        <v>130</v>
      </c>
    </row>
    <row r="287" spans="1:12" hidden="1" x14ac:dyDescent="0.3">
      <c r="A287" s="2" t="s">
        <v>8</v>
      </c>
      <c r="B287" s="2"/>
      <c r="D287" s="2" t="s">
        <v>429</v>
      </c>
      <c r="E287" s="2"/>
      <c r="F287" s="2" t="s">
        <v>430</v>
      </c>
      <c r="G287" s="2"/>
      <c r="H287" s="2"/>
      <c r="I287" s="2" t="s">
        <v>133</v>
      </c>
      <c r="J287" s="2"/>
      <c r="K287" t="b">
        <v>0</v>
      </c>
      <c r="L287" s="2" t="s">
        <v>130</v>
      </c>
    </row>
    <row r="288" spans="1:12" hidden="1" x14ac:dyDescent="0.3">
      <c r="A288" s="2" t="s">
        <v>8</v>
      </c>
      <c r="B288" s="2"/>
      <c r="D288" s="2" t="s">
        <v>429</v>
      </c>
      <c r="E288" s="2"/>
      <c r="F288" s="2" t="s">
        <v>430</v>
      </c>
      <c r="G288" s="2"/>
      <c r="H288" s="2"/>
      <c r="I288" s="2" t="s">
        <v>133</v>
      </c>
      <c r="J288" s="2"/>
      <c r="K288" t="b">
        <v>0</v>
      </c>
      <c r="L288" s="2" t="s">
        <v>130</v>
      </c>
    </row>
    <row r="289" spans="1:12" hidden="1" x14ac:dyDescent="0.3">
      <c r="A289" s="2" t="s">
        <v>8</v>
      </c>
      <c r="B289" s="2"/>
      <c r="D289" s="2" t="s">
        <v>429</v>
      </c>
      <c r="E289" s="2"/>
      <c r="F289" s="2" t="s">
        <v>430</v>
      </c>
      <c r="G289" s="2"/>
      <c r="H289" s="2"/>
      <c r="I289" s="2" t="s">
        <v>133</v>
      </c>
      <c r="J289" s="2"/>
      <c r="K289" t="b">
        <v>0</v>
      </c>
      <c r="L289" s="2" t="s">
        <v>130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195D-A688-451E-BCCF-8363C59600C1}">
  <dimension ref="A1:L289"/>
  <sheetViews>
    <sheetView workbookViewId="0">
      <selection sqref="A1:L289"/>
    </sheetView>
  </sheetViews>
  <sheetFormatPr defaultRowHeight="14.4" x14ac:dyDescent="0.3"/>
  <cols>
    <col min="1" max="1" width="13" bestFit="1" customWidth="1"/>
    <col min="2" max="2" width="14" bestFit="1" customWidth="1"/>
    <col min="3" max="3" width="9.21875" bestFit="1" customWidth="1"/>
    <col min="4" max="4" width="10.77734375" bestFit="1" customWidth="1"/>
    <col min="5" max="6" width="38.88671875" bestFit="1" customWidth="1"/>
    <col min="7" max="7" width="12.6640625" bestFit="1" customWidth="1"/>
    <col min="8" max="8" width="52.88671875" bestFit="1" customWidth="1"/>
    <col min="9" max="9" width="18.109375" bestFit="1" customWidth="1"/>
    <col min="10" max="10" width="19.109375" bestFit="1" customWidth="1"/>
    <col min="11" max="11" width="11.109375" bestFit="1" customWidth="1"/>
    <col min="12" max="12" width="12.77734375" bestFit="1" customWidth="1"/>
  </cols>
  <sheetData>
    <row r="1" spans="1:12" x14ac:dyDescent="0.3">
      <c r="A1" t="s">
        <v>5</v>
      </c>
      <c r="B1" t="s">
        <v>4</v>
      </c>
      <c r="C1" t="s">
        <v>3</v>
      </c>
      <c r="D1" t="s">
        <v>0</v>
      </c>
      <c r="E1" t="s">
        <v>2</v>
      </c>
      <c r="F1" t="s">
        <v>15</v>
      </c>
      <c r="G1" t="s">
        <v>34</v>
      </c>
      <c r="H1" t="s">
        <v>35</v>
      </c>
      <c r="I1" t="s">
        <v>1</v>
      </c>
      <c r="J1" t="s">
        <v>6</v>
      </c>
      <c r="K1" t="s">
        <v>12</v>
      </c>
      <c r="L1" t="s">
        <v>52</v>
      </c>
    </row>
    <row r="2" spans="1:12" hidden="1" x14ac:dyDescent="0.3">
      <c r="A2" s="2" t="s">
        <v>8</v>
      </c>
      <c r="B2" s="2" t="s">
        <v>20</v>
      </c>
      <c r="C2">
        <v>1</v>
      </c>
      <c r="D2" s="2" t="s">
        <v>131</v>
      </c>
      <c r="E2" s="2" t="s">
        <v>21</v>
      </c>
      <c r="F2" s="2" t="s">
        <v>21</v>
      </c>
      <c r="G2" s="2" t="s">
        <v>36</v>
      </c>
      <c r="H2" s="2" t="s">
        <v>132</v>
      </c>
      <c r="I2" s="2" t="s">
        <v>133</v>
      </c>
      <c r="J2" s="2" t="s">
        <v>134</v>
      </c>
      <c r="K2" t="b">
        <v>0</v>
      </c>
      <c r="L2" s="2" t="s">
        <v>130</v>
      </c>
    </row>
    <row r="3" spans="1:12" hidden="1" x14ac:dyDescent="0.3">
      <c r="A3" s="2" t="s">
        <v>8</v>
      </c>
      <c r="B3" s="2" t="s">
        <v>20</v>
      </c>
      <c r="C3">
        <v>2</v>
      </c>
      <c r="D3" s="2" t="s">
        <v>135</v>
      </c>
      <c r="E3" s="2" t="s">
        <v>28</v>
      </c>
      <c r="F3" s="2" t="s">
        <v>28</v>
      </c>
      <c r="G3" s="2" t="s">
        <v>36</v>
      </c>
      <c r="H3" s="2" t="s">
        <v>132</v>
      </c>
      <c r="I3" s="2" t="s">
        <v>133</v>
      </c>
      <c r="J3" s="2" t="s">
        <v>134</v>
      </c>
      <c r="K3" t="b">
        <v>0</v>
      </c>
      <c r="L3" s="2" t="s">
        <v>130</v>
      </c>
    </row>
    <row r="4" spans="1:12" hidden="1" x14ac:dyDescent="0.3">
      <c r="A4" s="2" t="s">
        <v>8</v>
      </c>
      <c r="B4" s="2" t="s">
        <v>20</v>
      </c>
      <c r="C4">
        <v>3</v>
      </c>
      <c r="D4" s="2" t="s">
        <v>136</v>
      </c>
      <c r="E4" s="2" t="s">
        <v>30</v>
      </c>
      <c r="F4" s="2" t="s">
        <v>30</v>
      </c>
      <c r="G4" s="2" t="s">
        <v>36</v>
      </c>
      <c r="H4" s="2" t="s">
        <v>132</v>
      </c>
      <c r="I4" s="2" t="s">
        <v>133</v>
      </c>
      <c r="J4" s="2" t="s">
        <v>134</v>
      </c>
      <c r="K4" t="b">
        <v>0</v>
      </c>
      <c r="L4" s="2" t="s">
        <v>130</v>
      </c>
    </row>
    <row r="5" spans="1:12" hidden="1" x14ac:dyDescent="0.3">
      <c r="A5" s="2" t="s">
        <v>8</v>
      </c>
      <c r="B5" s="2" t="s">
        <v>20</v>
      </c>
      <c r="C5">
        <v>4</v>
      </c>
      <c r="D5" s="2" t="s">
        <v>137</v>
      </c>
      <c r="E5" s="2" t="s">
        <v>29</v>
      </c>
      <c r="F5" s="2" t="s">
        <v>29</v>
      </c>
      <c r="G5" s="2" t="s">
        <v>36</v>
      </c>
      <c r="H5" s="2" t="s">
        <v>132</v>
      </c>
      <c r="I5" s="2" t="s">
        <v>133</v>
      </c>
      <c r="J5" s="2" t="s">
        <v>134</v>
      </c>
      <c r="K5" t="b">
        <v>0</v>
      </c>
      <c r="L5" s="2" t="s">
        <v>130</v>
      </c>
    </row>
    <row r="6" spans="1:12" hidden="1" x14ac:dyDescent="0.3">
      <c r="A6" s="2" t="s">
        <v>8</v>
      </c>
      <c r="B6" s="2" t="s">
        <v>20</v>
      </c>
      <c r="C6">
        <v>5</v>
      </c>
      <c r="D6" s="2" t="s">
        <v>138</v>
      </c>
      <c r="E6" s="2" t="s">
        <v>32</v>
      </c>
      <c r="F6" s="2" t="s">
        <v>32</v>
      </c>
      <c r="G6" s="2" t="s">
        <v>36</v>
      </c>
      <c r="H6" s="2" t="s">
        <v>132</v>
      </c>
      <c r="I6" s="2" t="s">
        <v>133</v>
      </c>
      <c r="J6" s="2" t="s">
        <v>134</v>
      </c>
      <c r="K6" t="b">
        <v>0</v>
      </c>
      <c r="L6" s="2" t="s">
        <v>130</v>
      </c>
    </row>
    <row r="7" spans="1:12" hidden="1" x14ac:dyDescent="0.3">
      <c r="A7" s="2" t="s">
        <v>8</v>
      </c>
      <c r="B7" s="2" t="s">
        <v>20</v>
      </c>
      <c r="C7">
        <v>6</v>
      </c>
      <c r="D7" s="2" t="s">
        <v>139</v>
      </c>
      <c r="E7" s="2" t="s">
        <v>7</v>
      </c>
      <c r="F7" s="2" t="s">
        <v>7</v>
      </c>
      <c r="G7" s="2" t="s">
        <v>36</v>
      </c>
      <c r="H7" s="2" t="s">
        <v>132</v>
      </c>
      <c r="I7" s="2" t="s">
        <v>133</v>
      </c>
      <c r="J7" s="2" t="s">
        <v>134</v>
      </c>
      <c r="K7" t="b">
        <v>0</v>
      </c>
      <c r="L7" s="2" t="s">
        <v>130</v>
      </c>
    </row>
    <row r="8" spans="1:12" hidden="1" x14ac:dyDescent="0.3">
      <c r="A8" s="2" t="s">
        <v>8</v>
      </c>
      <c r="B8" s="2" t="s">
        <v>20</v>
      </c>
      <c r="C8">
        <v>7</v>
      </c>
      <c r="D8" s="2" t="s">
        <v>140</v>
      </c>
      <c r="E8" s="2" t="s">
        <v>31</v>
      </c>
      <c r="F8" s="2" t="s">
        <v>31</v>
      </c>
      <c r="G8" s="2" t="s">
        <v>36</v>
      </c>
      <c r="H8" s="2" t="s">
        <v>132</v>
      </c>
      <c r="I8" s="2" t="s">
        <v>133</v>
      </c>
      <c r="J8" s="2" t="s">
        <v>134</v>
      </c>
      <c r="K8" t="b">
        <v>0</v>
      </c>
      <c r="L8" s="2" t="s">
        <v>130</v>
      </c>
    </row>
    <row r="9" spans="1:12" hidden="1" x14ac:dyDescent="0.3">
      <c r="A9" s="2" t="s">
        <v>8</v>
      </c>
      <c r="B9" s="2" t="s">
        <v>20</v>
      </c>
      <c r="C9">
        <v>8</v>
      </c>
      <c r="D9" s="2" t="s">
        <v>141</v>
      </c>
      <c r="E9" s="2" t="s">
        <v>33</v>
      </c>
      <c r="F9" s="2" t="s">
        <v>33</v>
      </c>
      <c r="G9" s="2" t="s">
        <v>36</v>
      </c>
      <c r="H9" s="2" t="s">
        <v>132</v>
      </c>
      <c r="I9" s="2" t="s">
        <v>133</v>
      </c>
      <c r="J9" s="2" t="s">
        <v>134</v>
      </c>
      <c r="K9" t="b">
        <v>0</v>
      </c>
      <c r="L9" s="2" t="s">
        <v>130</v>
      </c>
    </row>
    <row r="10" spans="1:12" hidden="1" x14ac:dyDescent="0.3">
      <c r="A10" s="2" t="s">
        <v>8</v>
      </c>
      <c r="B10" s="2" t="s">
        <v>20</v>
      </c>
      <c r="C10">
        <v>9</v>
      </c>
      <c r="D10" s="2" t="s">
        <v>142</v>
      </c>
      <c r="E10" s="2" t="s">
        <v>9</v>
      </c>
      <c r="F10" s="2" t="s">
        <v>9</v>
      </c>
      <c r="G10" s="2" t="s">
        <v>36</v>
      </c>
      <c r="H10" s="2" t="s">
        <v>132</v>
      </c>
      <c r="I10" s="2" t="s">
        <v>133</v>
      </c>
      <c r="J10" s="2" t="s">
        <v>134</v>
      </c>
      <c r="K10" t="b">
        <v>0</v>
      </c>
      <c r="L10" s="2" t="s">
        <v>130</v>
      </c>
    </row>
    <row r="11" spans="1:12" hidden="1" x14ac:dyDescent="0.3">
      <c r="A11" s="2" t="s">
        <v>8</v>
      </c>
      <c r="B11" s="2" t="s">
        <v>20</v>
      </c>
      <c r="C11">
        <v>10</v>
      </c>
      <c r="D11" s="2" t="s">
        <v>143</v>
      </c>
      <c r="E11" s="2" t="s">
        <v>17</v>
      </c>
      <c r="F11" s="2" t="s">
        <v>17</v>
      </c>
      <c r="G11" s="2" t="s">
        <v>36</v>
      </c>
      <c r="H11" s="2" t="s">
        <v>132</v>
      </c>
      <c r="I11" s="2" t="s">
        <v>133</v>
      </c>
      <c r="J11" s="2" t="s">
        <v>134</v>
      </c>
      <c r="K11" t="b">
        <v>0</v>
      </c>
      <c r="L11" s="2" t="s">
        <v>130</v>
      </c>
    </row>
    <row r="12" spans="1:12" hidden="1" x14ac:dyDescent="0.3">
      <c r="A12" s="2" t="s">
        <v>8</v>
      </c>
      <c r="B12" s="2" t="s">
        <v>20</v>
      </c>
      <c r="C12">
        <v>11</v>
      </c>
      <c r="D12" s="2" t="s">
        <v>144</v>
      </c>
      <c r="E12" s="2" t="s">
        <v>11</v>
      </c>
      <c r="F12" s="2" t="s">
        <v>11</v>
      </c>
      <c r="G12" s="2" t="s">
        <v>36</v>
      </c>
      <c r="H12" s="2" t="s">
        <v>132</v>
      </c>
      <c r="I12" s="2" t="s">
        <v>133</v>
      </c>
      <c r="J12" s="2" t="s">
        <v>134</v>
      </c>
      <c r="K12" t="b">
        <v>0</v>
      </c>
      <c r="L12" s="2" t="s">
        <v>130</v>
      </c>
    </row>
    <row r="13" spans="1:12" hidden="1" x14ac:dyDescent="0.3">
      <c r="A13" s="2" t="s">
        <v>8</v>
      </c>
      <c r="B13" s="2" t="s">
        <v>20</v>
      </c>
      <c r="C13">
        <v>12</v>
      </c>
      <c r="D13" s="2" t="s">
        <v>145</v>
      </c>
      <c r="E13" s="2" t="s">
        <v>14</v>
      </c>
      <c r="F13" s="2" t="s">
        <v>146</v>
      </c>
      <c r="G13" s="2" t="s">
        <v>36</v>
      </c>
      <c r="H13" s="2" t="s">
        <v>132</v>
      </c>
      <c r="I13" s="2" t="s">
        <v>133</v>
      </c>
      <c r="J13" s="2" t="s">
        <v>134</v>
      </c>
      <c r="K13" t="b">
        <v>1</v>
      </c>
      <c r="L13" s="2" t="s">
        <v>130</v>
      </c>
    </row>
    <row r="14" spans="1:12" hidden="1" x14ac:dyDescent="0.3">
      <c r="A14" s="2" t="s">
        <v>8</v>
      </c>
      <c r="B14" s="2" t="s">
        <v>20</v>
      </c>
      <c r="C14">
        <v>13</v>
      </c>
      <c r="D14" s="2" t="s">
        <v>147</v>
      </c>
      <c r="E14" s="2" t="s">
        <v>25</v>
      </c>
      <c r="F14" s="2" t="s">
        <v>25</v>
      </c>
      <c r="G14" s="2" t="s">
        <v>36</v>
      </c>
      <c r="H14" s="2" t="s">
        <v>132</v>
      </c>
      <c r="I14" s="2" t="s">
        <v>133</v>
      </c>
      <c r="J14" s="2" t="s">
        <v>134</v>
      </c>
      <c r="K14" t="b">
        <v>0</v>
      </c>
      <c r="L14" s="2" t="s">
        <v>130</v>
      </c>
    </row>
    <row r="15" spans="1:12" hidden="1" x14ac:dyDescent="0.3">
      <c r="A15" s="2" t="s">
        <v>8</v>
      </c>
      <c r="B15" s="2" t="s">
        <v>20</v>
      </c>
      <c r="C15">
        <v>14</v>
      </c>
      <c r="D15" s="2" t="s">
        <v>148</v>
      </c>
      <c r="E15" s="2" t="s">
        <v>26</v>
      </c>
      <c r="F15" s="2" t="s">
        <v>26</v>
      </c>
      <c r="G15" s="2" t="s">
        <v>36</v>
      </c>
      <c r="H15" s="2" t="s">
        <v>132</v>
      </c>
      <c r="I15" s="2" t="s">
        <v>133</v>
      </c>
      <c r="J15" s="2" t="s">
        <v>134</v>
      </c>
      <c r="K15" t="b">
        <v>0</v>
      </c>
      <c r="L15" s="2" t="s">
        <v>130</v>
      </c>
    </row>
    <row r="16" spans="1:12" hidden="1" x14ac:dyDescent="0.3">
      <c r="A16" s="2" t="s">
        <v>8</v>
      </c>
      <c r="B16" s="2" t="s">
        <v>20</v>
      </c>
      <c r="C16">
        <v>15</v>
      </c>
      <c r="D16" s="2" t="s">
        <v>149</v>
      </c>
      <c r="E16" s="2" t="s">
        <v>27</v>
      </c>
      <c r="F16" s="2" t="s">
        <v>27</v>
      </c>
      <c r="G16" s="2" t="s">
        <v>36</v>
      </c>
      <c r="H16" s="2" t="s">
        <v>132</v>
      </c>
      <c r="I16" s="2" t="s">
        <v>133</v>
      </c>
      <c r="J16" s="2" t="s">
        <v>134</v>
      </c>
      <c r="K16" t="b">
        <v>0</v>
      </c>
      <c r="L16" s="2" t="s">
        <v>130</v>
      </c>
    </row>
    <row r="17" spans="1:12" hidden="1" x14ac:dyDescent="0.3">
      <c r="A17" s="2" t="s">
        <v>8</v>
      </c>
      <c r="B17" s="2" t="s">
        <v>20</v>
      </c>
      <c r="C17">
        <v>16</v>
      </c>
      <c r="D17" s="2" t="s">
        <v>150</v>
      </c>
      <c r="E17" s="2" t="s">
        <v>24</v>
      </c>
      <c r="F17" s="2" t="s">
        <v>24</v>
      </c>
      <c r="G17" s="2" t="s">
        <v>36</v>
      </c>
      <c r="H17" s="2" t="s">
        <v>132</v>
      </c>
      <c r="I17" s="2" t="s">
        <v>133</v>
      </c>
      <c r="J17" s="2" t="s">
        <v>134</v>
      </c>
      <c r="K17" t="b">
        <v>0</v>
      </c>
      <c r="L17" s="2" t="s">
        <v>130</v>
      </c>
    </row>
    <row r="18" spans="1:12" hidden="1" x14ac:dyDescent="0.3">
      <c r="A18" s="2" t="s">
        <v>8</v>
      </c>
      <c r="B18" s="2" t="s">
        <v>20</v>
      </c>
      <c r="C18">
        <v>17</v>
      </c>
      <c r="D18" s="2" t="s">
        <v>151</v>
      </c>
      <c r="E18" s="2" t="s">
        <v>10</v>
      </c>
      <c r="F18" s="2" t="s">
        <v>10</v>
      </c>
      <c r="G18" s="2" t="s">
        <v>36</v>
      </c>
      <c r="H18" s="2" t="s">
        <v>132</v>
      </c>
      <c r="I18" s="2" t="s">
        <v>133</v>
      </c>
      <c r="J18" s="2" t="s">
        <v>134</v>
      </c>
      <c r="K18" t="b">
        <v>0</v>
      </c>
      <c r="L18" s="2" t="s">
        <v>130</v>
      </c>
    </row>
    <row r="19" spans="1:12" hidden="1" x14ac:dyDescent="0.3">
      <c r="A19" s="2" t="s">
        <v>8</v>
      </c>
      <c r="B19" s="2" t="s">
        <v>20</v>
      </c>
      <c r="C19">
        <v>18</v>
      </c>
      <c r="D19" s="2" t="s">
        <v>152</v>
      </c>
      <c r="E19" s="2" t="s">
        <v>19</v>
      </c>
      <c r="F19" s="2" t="s">
        <v>19</v>
      </c>
      <c r="G19" s="2" t="s">
        <v>36</v>
      </c>
      <c r="H19" s="2" t="s">
        <v>132</v>
      </c>
      <c r="I19" s="2" t="s">
        <v>133</v>
      </c>
      <c r="J19" s="2" t="s">
        <v>134</v>
      </c>
      <c r="K19" t="b">
        <v>0</v>
      </c>
      <c r="L19" s="2" t="s">
        <v>130</v>
      </c>
    </row>
    <row r="20" spans="1:12" hidden="1" x14ac:dyDescent="0.3">
      <c r="A20" s="2" t="s">
        <v>8</v>
      </c>
      <c r="B20" s="2" t="s">
        <v>20</v>
      </c>
      <c r="C20">
        <v>19</v>
      </c>
      <c r="D20" s="2" t="s">
        <v>153</v>
      </c>
      <c r="E20" s="2" t="s">
        <v>13</v>
      </c>
      <c r="F20" s="2" t="s">
        <v>13</v>
      </c>
      <c r="G20" s="2" t="s">
        <v>36</v>
      </c>
      <c r="H20" s="2" t="s">
        <v>132</v>
      </c>
      <c r="I20" s="2" t="s">
        <v>133</v>
      </c>
      <c r="J20" s="2" t="s">
        <v>134</v>
      </c>
      <c r="K20" t="b">
        <v>0</v>
      </c>
      <c r="L20" s="2" t="s">
        <v>130</v>
      </c>
    </row>
    <row r="21" spans="1:12" hidden="1" x14ac:dyDescent="0.3">
      <c r="A21" s="2" t="s">
        <v>8</v>
      </c>
      <c r="B21" s="2" t="s">
        <v>20</v>
      </c>
      <c r="C21">
        <v>20</v>
      </c>
      <c r="D21" s="2" t="s">
        <v>154</v>
      </c>
      <c r="E21" s="2" t="s">
        <v>16</v>
      </c>
      <c r="F21" s="2" t="s">
        <v>155</v>
      </c>
      <c r="G21" s="2" t="s">
        <v>36</v>
      </c>
      <c r="H21" s="2" t="s">
        <v>132</v>
      </c>
      <c r="I21" s="2" t="s">
        <v>133</v>
      </c>
      <c r="J21" s="2" t="s">
        <v>134</v>
      </c>
      <c r="K21" t="b">
        <v>1</v>
      </c>
      <c r="L21" s="2" t="s">
        <v>130</v>
      </c>
    </row>
    <row r="22" spans="1:12" hidden="1" x14ac:dyDescent="0.3">
      <c r="A22" s="2" t="s">
        <v>8</v>
      </c>
      <c r="B22" s="2" t="s">
        <v>20</v>
      </c>
      <c r="C22">
        <v>21</v>
      </c>
      <c r="D22" s="2" t="s">
        <v>156</v>
      </c>
      <c r="E22" s="2" t="s">
        <v>18</v>
      </c>
      <c r="F22" s="2" t="s">
        <v>18</v>
      </c>
      <c r="G22" s="2" t="s">
        <v>36</v>
      </c>
      <c r="H22" s="2" t="s">
        <v>132</v>
      </c>
      <c r="I22" s="2" t="s">
        <v>133</v>
      </c>
      <c r="J22" s="2" t="s">
        <v>134</v>
      </c>
      <c r="K22" t="b">
        <v>0</v>
      </c>
      <c r="L22" s="2" t="s">
        <v>130</v>
      </c>
    </row>
    <row r="23" spans="1:12" hidden="1" x14ac:dyDescent="0.3">
      <c r="A23" s="2" t="s">
        <v>8</v>
      </c>
      <c r="B23" s="2" t="s">
        <v>20</v>
      </c>
      <c r="C23">
        <v>22</v>
      </c>
      <c r="D23" s="2" t="s">
        <v>157</v>
      </c>
      <c r="E23" s="2" t="s">
        <v>37</v>
      </c>
      <c r="F23" s="2" t="s">
        <v>37</v>
      </c>
      <c r="G23" s="2" t="s">
        <v>38</v>
      </c>
      <c r="H23" s="2" t="s">
        <v>158</v>
      </c>
      <c r="I23" s="2" t="s">
        <v>133</v>
      </c>
      <c r="J23" s="2" t="s">
        <v>134</v>
      </c>
      <c r="K23" t="b">
        <v>0</v>
      </c>
      <c r="L23" s="2" t="s">
        <v>130</v>
      </c>
    </row>
    <row r="24" spans="1:12" hidden="1" x14ac:dyDescent="0.3">
      <c r="A24" s="2" t="s">
        <v>8</v>
      </c>
      <c r="B24" s="2" t="s">
        <v>20</v>
      </c>
      <c r="C24">
        <v>23</v>
      </c>
      <c r="D24" s="2" t="s">
        <v>159</v>
      </c>
      <c r="E24" s="2" t="s">
        <v>40</v>
      </c>
      <c r="F24" s="2" t="s">
        <v>40</v>
      </c>
      <c r="G24" s="2" t="s">
        <v>38</v>
      </c>
      <c r="H24" s="2" t="s">
        <v>158</v>
      </c>
      <c r="I24" s="2" t="s">
        <v>133</v>
      </c>
      <c r="J24" s="2" t="s">
        <v>134</v>
      </c>
      <c r="K24" t="b">
        <v>0</v>
      </c>
      <c r="L24" s="2" t="s">
        <v>130</v>
      </c>
    </row>
    <row r="25" spans="1:12" hidden="1" x14ac:dyDescent="0.3">
      <c r="A25" s="2" t="s">
        <v>8</v>
      </c>
      <c r="B25" s="2" t="s">
        <v>20</v>
      </c>
      <c r="C25">
        <v>24</v>
      </c>
      <c r="D25" s="2" t="s">
        <v>160</v>
      </c>
      <c r="E25" s="2" t="s">
        <v>41</v>
      </c>
      <c r="F25" s="2" t="s">
        <v>41</v>
      </c>
      <c r="G25" s="2" t="s">
        <v>38</v>
      </c>
      <c r="H25" s="2" t="s">
        <v>158</v>
      </c>
      <c r="I25" s="2" t="s">
        <v>133</v>
      </c>
      <c r="J25" s="2" t="s">
        <v>134</v>
      </c>
      <c r="K25" t="b">
        <v>0</v>
      </c>
      <c r="L25" s="2" t="s">
        <v>130</v>
      </c>
    </row>
    <row r="26" spans="1:12" hidden="1" x14ac:dyDescent="0.3">
      <c r="A26" s="2" t="s">
        <v>8</v>
      </c>
      <c r="B26" s="2" t="s">
        <v>20</v>
      </c>
      <c r="C26">
        <v>25</v>
      </c>
      <c r="D26" s="2" t="s">
        <v>161</v>
      </c>
      <c r="E26" s="2" t="s">
        <v>39</v>
      </c>
      <c r="F26" s="2" t="s">
        <v>39</v>
      </c>
      <c r="G26" s="2" t="s">
        <v>38</v>
      </c>
      <c r="H26" s="2" t="s">
        <v>158</v>
      </c>
      <c r="I26" s="2" t="s">
        <v>133</v>
      </c>
      <c r="J26" s="2" t="s">
        <v>134</v>
      </c>
      <c r="K26" t="b">
        <v>0</v>
      </c>
      <c r="L26" s="2" t="s">
        <v>130</v>
      </c>
    </row>
    <row r="27" spans="1:12" hidden="1" x14ac:dyDescent="0.3">
      <c r="A27" s="2" t="s">
        <v>8</v>
      </c>
      <c r="B27" s="2" t="s">
        <v>20</v>
      </c>
      <c r="C27">
        <v>26</v>
      </c>
      <c r="D27" s="2" t="s">
        <v>162</v>
      </c>
      <c r="E27" s="2" t="s">
        <v>42</v>
      </c>
      <c r="F27" s="2" t="s">
        <v>42</v>
      </c>
      <c r="G27" s="2" t="s">
        <v>46</v>
      </c>
      <c r="H27" s="2" t="s">
        <v>163</v>
      </c>
      <c r="I27" s="2" t="s">
        <v>133</v>
      </c>
      <c r="J27" s="2" t="s">
        <v>134</v>
      </c>
      <c r="K27" t="b">
        <v>0</v>
      </c>
      <c r="L27" s="2" t="s">
        <v>130</v>
      </c>
    </row>
    <row r="28" spans="1:12" hidden="1" x14ac:dyDescent="0.3">
      <c r="A28" s="2" t="s">
        <v>8</v>
      </c>
      <c r="B28" s="2" t="s">
        <v>20</v>
      </c>
      <c r="C28">
        <v>27</v>
      </c>
      <c r="D28" s="2" t="s">
        <v>164</v>
      </c>
      <c r="E28" s="2" t="s">
        <v>43</v>
      </c>
      <c r="F28" s="2" t="s">
        <v>43</v>
      </c>
      <c r="G28" s="2" t="s">
        <v>46</v>
      </c>
      <c r="H28" s="2" t="s">
        <v>163</v>
      </c>
      <c r="I28" s="2" t="s">
        <v>133</v>
      </c>
      <c r="J28" s="2" t="s">
        <v>134</v>
      </c>
      <c r="K28" t="b">
        <v>0</v>
      </c>
      <c r="L28" s="2" t="s">
        <v>130</v>
      </c>
    </row>
    <row r="29" spans="1:12" hidden="1" x14ac:dyDescent="0.3">
      <c r="A29" s="2" t="s">
        <v>8</v>
      </c>
      <c r="B29" s="2" t="s">
        <v>20</v>
      </c>
      <c r="C29">
        <v>28</v>
      </c>
      <c r="D29" s="2" t="s">
        <v>165</v>
      </c>
      <c r="E29" s="2" t="s">
        <v>44</v>
      </c>
      <c r="F29" s="2" t="s">
        <v>44</v>
      </c>
      <c r="G29" s="2" t="s">
        <v>46</v>
      </c>
      <c r="H29" s="2" t="s">
        <v>163</v>
      </c>
      <c r="I29" s="2" t="s">
        <v>133</v>
      </c>
      <c r="J29" s="2" t="s">
        <v>134</v>
      </c>
      <c r="K29" t="b">
        <v>0</v>
      </c>
      <c r="L29" s="2" t="s">
        <v>130</v>
      </c>
    </row>
    <row r="30" spans="1:12" hidden="1" x14ac:dyDescent="0.3">
      <c r="A30" s="2" t="s">
        <v>8</v>
      </c>
      <c r="B30" s="2" t="s">
        <v>20</v>
      </c>
      <c r="C30">
        <v>29</v>
      </c>
      <c r="D30" s="2" t="s">
        <v>166</v>
      </c>
      <c r="E30" s="2" t="s">
        <v>45</v>
      </c>
      <c r="F30" s="2" t="s">
        <v>45</v>
      </c>
      <c r="G30" s="2" t="s">
        <v>46</v>
      </c>
      <c r="H30" s="2" t="s">
        <v>163</v>
      </c>
      <c r="I30" s="2" t="s">
        <v>133</v>
      </c>
      <c r="J30" s="2" t="s">
        <v>134</v>
      </c>
      <c r="K30" t="b">
        <v>0</v>
      </c>
      <c r="L30" s="2" t="s">
        <v>130</v>
      </c>
    </row>
    <row r="31" spans="1:12" hidden="1" x14ac:dyDescent="0.3">
      <c r="A31" s="2" t="s">
        <v>8</v>
      </c>
      <c r="B31" s="2" t="s">
        <v>22</v>
      </c>
      <c r="C31">
        <v>1</v>
      </c>
      <c r="D31" s="2" t="s">
        <v>167</v>
      </c>
      <c r="E31" s="2" t="s">
        <v>21</v>
      </c>
      <c r="F31" s="2" t="s">
        <v>21</v>
      </c>
      <c r="G31" s="2" t="s">
        <v>36</v>
      </c>
      <c r="H31" s="2" t="s">
        <v>132</v>
      </c>
      <c r="I31" s="2" t="s">
        <v>133</v>
      </c>
      <c r="J31" s="2" t="s">
        <v>168</v>
      </c>
      <c r="K31" t="b">
        <v>0</v>
      </c>
      <c r="L31" s="2" t="s">
        <v>130</v>
      </c>
    </row>
    <row r="32" spans="1:12" hidden="1" x14ac:dyDescent="0.3">
      <c r="A32" s="2" t="s">
        <v>8</v>
      </c>
      <c r="B32" s="2" t="s">
        <v>22</v>
      </c>
      <c r="C32">
        <v>2</v>
      </c>
      <c r="D32" s="2" t="s">
        <v>169</v>
      </c>
      <c r="E32" s="2" t="s">
        <v>28</v>
      </c>
      <c r="F32" s="2" t="s">
        <v>28</v>
      </c>
      <c r="G32" s="2" t="s">
        <v>36</v>
      </c>
      <c r="H32" s="2" t="s">
        <v>132</v>
      </c>
      <c r="I32" s="2" t="s">
        <v>133</v>
      </c>
      <c r="J32" s="2" t="s">
        <v>168</v>
      </c>
      <c r="K32" t="b">
        <v>0</v>
      </c>
      <c r="L32" s="2" t="s">
        <v>130</v>
      </c>
    </row>
    <row r="33" spans="1:12" hidden="1" x14ac:dyDescent="0.3">
      <c r="A33" s="2" t="s">
        <v>8</v>
      </c>
      <c r="B33" s="2" t="s">
        <v>22</v>
      </c>
      <c r="C33">
        <v>3</v>
      </c>
      <c r="D33" s="2" t="s">
        <v>170</v>
      </c>
      <c r="E33" s="2" t="s">
        <v>30</v>
      </c>
      <c r="F33" s="2" t="s">
        <v>30</v>
      </c>
      <c r="G33" s="2" t="s">
        <v>36</v>
      </c>
      <c r="H33" s="2" t="s">
        <v>132</v>
      </c>
      <c r="I33" s="2" t="s">
        <v>133</v>
      </c>
      <c r="J33" s="2" t="s">
        <v>168</v>
      </c>
      <c r="K33" t="b">
        <v>0</v>
      </c>
      <c r="L33" s="2" t="s">
        <v>130</v>
      </c>
    </row>
    <row r="34" spans="1:12" hidden="1" x14ac:dyDescent="0.3">
      <c r="A34" s="2" t="s">
        <v>8</v>
      </c>
      <c r="B34" s="2" t="s">
        <v>22</v>
      </c>
      <c r="C34">
        <v>4</v>
      </c>
      <c r="D34" s="2" t="s">
        <v>171</v>
      </c>
      <c r="E34" s="2" t="s">
        <v>32</v>
      </c>
      <c r="F34" s="2" t="s">
        <v>32</v>
      </c>
      <c r="G34" s="2" t="s">
        <v>36</v>
      </c>
      <c r="H34" s="2" t="s">
        <v>132</v>
      </c>
      <c r="I34" s="2" t="s">
        <v>133</v>
      </c>
      <c r="J34" s="2" t="s">
        <v>168</v>
      </c>
      <c r="K34" t="b">
        <v>0</v>
      </c>
      <c r="L34" s="2" t="s">
        <v>130</v>
      </c>
    </row>
    <row r="35" spans="1:12" hidden="1" x14ac:dyDescent="0.3">
      <c r="A35" s="2" t="s">
        <v>8</v>
      </c>
      <c r="B35" s="2" t="s">
        <v>22</v>
      </c>
      <c r="C35">
        <v>5</v>
      </c>
      <c r="D35" s="2" t="s">
        <v>172</v>
      </c>
      <c r="E35" s="2" t="s">
        <v>48</v>
      </c>
      <c r="F35" s="2" t="s">
        <v>48</v>
      </c>
      <c r="G35" s="2" t="s">
        <v>36</v>
      </c>
      <c r="H35" s="2" t="s">
        <v>132</v>
      </c>
      <c r="I35" s="2" t="s">
        <v>133</v>
      </c>
      <c r="J35" s="2" t="s">
        <v>168</v>
      </c>
      <c r="K35" t="b">
        <v>0</v>
      </c>
      <c r="L35" s="2" t="s">
        <v>130</v>
      </c>
    </row>
    <row r="36" spans="1:12" hidden="1" x14ac:dyDescent="0.3">
      <c r="A36" s="2" t="s">
        <v>8</v>
      </c>
      <c r="B36" s="2" t="s">
        <v>22</v>
      </c>
      <c r="C36">
        <v>1</v>
      </c>
      <c r="D36" s="2" t="s">
        <v>167</v>
      </c>
      <c r="E36" s="2" t="s">
        <v>7</v>
      </c>
      <c r="F36" s="2" t="s">
        <v>7</v>
      </c>
      <c r="G36" s="2" t="s">
        <v>36</v>
      </c>
      <c r="H36" s="2" t="s">
        <v>132</v>
      </c>
      <c r="I36" s="2" t="s">
        <v>133</v>
      </c>
      <c r="J36" s="2" t="s">
        <v>168</v>
      </c>
      <c r="K36" t="b">
        <v>0</v>
      </c>
      <c r="L36" s="2" t="s">
        <v>130</v>
      </c>
    </row>
    <row r="37" spans="1:12" hidden="1" x14ac:dyDescent="0.3">
      <c r="A37" s="2" t="s">
        <v>8</v>
      </c>
      <c r="B37" s="2" t="s">
        <v>22</v>
      </c>
      <c r="C37">
        <v>2</v>
      </c>
      <c r="D37" s="2" t="s">
        <v>169</v>
      </c>
      <c r="E37" s="2" t="s">
        <v>33</v>
      </c>
      <c r="F37" s="2" t="s">
        <v>33</v>
      </c>
      <c r="G37" s="2" t="s">
        <v>36</v>
      </c>
      <c r="H37" s="2" t="s">
        <v>132</v>
      </c>
      <c r="I37" s="2" t="s">
        <v>133</v>
      </c>
      <c r="J37" s="2" t="s">
        <v>168</v>
      </c>
      <c r="K37" t="b">
        <v>0</v>
      </c>
      <c r="L37" s="2" t="s">
        <v>130</v>
      </c>
    </row>
    <row r="38" spans="1:12" hidden="1" x14ac:dyDescent="0.3">
      <c r="A38" s="2" t="s">
        <v>8</v>
      </c>
      <c r="B38" s="2" t="s">
        <v>22</v>
      </c>
      <c r="C38">
        <v>3</v>
      </c>
      <c r="D38" s="2" t="s">
        <v>170</v>
      </c>
      <c r="E38" s="2" t="s">
        <v>17</v>
      </c>
      <c r="F38" s="2" t="s">
        <v>17</v>
      </c>
      <c r="G38" s="2" t="s">
        <v>36</v>
      </c>
      <c r="H38" s="2" t="s">
        <v>132</v>
      </c>
      <c r="I38" s="2" t="s">
        <v>133</v>
      </c>
      <c r="J38" s="2" t="s">
        <v>168</v>
      </c>
      <c r="K38" t="b">
        <v>0</v>
      </c>
      <c r="L38" s="2" t="s">
        <v>130</v>
      </c>
    </row>
    <row r="39" spans="1:12" hidden="1" x14ac:dyDescent="0.3">
      <c r="A39" s="2" t="s">
        <v>8</v>
      </c>
      <c r="B39" s="2" t="s">
        <v>22</v>
      </c>
      <c r="C39">
        <v>4</v>
      </c>
      <c r="D39" s="2" t="s">
        <v>171</v>
      </c>
      <c r="E39" s="2" t="s">
        <v>11</v>
      </c>
      <c r="F39" s="2" t="s">
        <v>11</v>
      </c>
      <c r="G39" s="2" t="s">
        <v>36</v>
      </c>
      <c r="H39" s="2" t="s">
        <v>132</v>
      </c>
      <c r="I39" s="2" t="s">
        <v>133</v>
      </c>
      <c r="J39" s="2" t="s">
        <v>168</v>
      </c>
      <c r="K39" t="b">
        <v>0</v>
      </c>
      <c r="L39" s="2" t="s">
        <v>130</v>
      </c>
    </row>
    <row r="40" spans="1:12" hidden="1" x14ac:dyDescent="0.3">
      <c r="A40" s="2" t="s">
        <v>8</v>
      </c>
      <c r="B40" s="2" t="s">
        <v>22</v>
      </c>
      <c r="C40">
        <v>5</v>
      </c>
      <c r="D40" s="2" t="s">
        <v>172</v>
      </c>
      <c r="E40" s="2" t="s">
        <v>14</v>
      </c>
      <c r="F40" s="2" t="s">
        <v>146</v>
      </c>
      <c r="G40" s="2" t="s">
        <v>36</v>
      </c>
      <c r="H40" s="2" t="s">
        <v>132</v>
      </c>
      <c r="I40" s="2" t="s">
        <v>133</v>
      </c>
      <c r="J40" s="2" t="s">
        <v>168</v>
      </c>
      <c r="K40" t="b">
        <v>1</v>
      </c>
      <c r="L40" s="2" t="s">
        <v>130</v>
      </c>
    </row>
    <row r="41" spans="1:12" hidden="1" x14ac:dyDescent="0.3">
      <c r="A41" s="2" t="s">
        <v>8</v>
      </c>
      <c r="B41" s="2" t="s">
        <v>22</v>
      </c>
      <c r="C41">
        <v>6</v>
      </c>
      <c r="D41" s="2" t="s">
        <v>173</v>
      </c>
      <c r="E41" s="2" t="s">
        <v>25</v>
      </c>
      <c r="F41" s="2" t="s">
        <v>25</v>
      </c>
      <c r="G41" s="2" t="s">
        <v>36</v>
      </c>
      <c r="H41" s="2" t="s">
        <v>132</v>
      </c>
      <c r="I41" s="2" t="s">
        <v>133</v>
      </c>
      <c r="J41" s="2" t="s">
        <v>168</v>
      </c>
      <c r="K41" t="b">
        <v>0</v>
      </c>
      <c r="L41" s="2" t="s">
        <v>130</v>
      </c>
    </row>
    <row r="42" spans="1:12" hidden="1" x14ac:dyDescent="0.3">
      <c r="A42" s="2" t="s">
        <v>8</v>
      </c>
      <c r="B42" s="2" t="s">
        <v>22</v>
      </c>
      <c r="C42">
        <v>7</v>
      </c>
      <c r="D42" s="2" t="s">
        <v>174</v>
      </c>
      <c r="E42" s="2" t="s">
        <v>26</v>
      </c>
      <c r="F42" s="2" t="s">
        <v>26</v>
      </c>
      <c r="G42" s="2" t="s">
        <v>36</v>
      </c>
      <c r="H42" s="2" t="s">
        <v>132</v>
      </c>
      <c r="I42" s="2" t="s">
        <v>133</v>
      </c>
      <c r="J42" s="2" t="s">
        <v>168</v>
      </c>
      <c r="K42" t="b">
        <v>0</v>
      </c>
      <c r="L42" s="2" t="s">
        <v>130</v>
      </c>
    </row>
    <row r="43" spans="1:12" hidden="1" x14ac:dyDescent="0.3">
      <c r="A43" s="2" t="s">
        <v>8</v>
      </c>
      <c r="B43" s="2" t="s">
        <v>22</v>
      </c>
      <c r="C43">
        <v>8</v>
      </c>
      <c r="D43" s="2" t="s">
        <v>175</v>
      </c>
      <c r="E43" s="2" t="s">
        <v>47</v>
      </c>
      <c r="F43" s="2" t="s">
        <v>47</v>
      </c>
      <c r="G43" s="2" t="s">
        <v>36</v>
      </c>
      <c r="H43" s="2" t="s">
        <v>132</v>
      </c>
      <c r="I43" s="2" t="s">
        <v>133</v>
      </c>
      <c r="J43" s="2" t="s">
        <v>168</v>
      </c>
      <c r="K43" t="b">
        <v>0</v>
      </c>
      <c r="L43" s="2" t="s">
        <v>130</v>
      </c>
    </row>
    <row r="44" spans="1:12" hidden="1" x14ac:dyDescent="0.3">
      <c r="A44" s="2" t="s">
        <v>8</v>
      </c>
      <c r="B44" s="2" t="s">
        <v>22</v>
      </c>
      <c r="C44">
        <v>9</v>
      </c>
      <c r="D44" s="2" t="s">
        <v>176</v>
      </c>
      <c r="E44" s="2" t="s">
        <v>24</v>
      </c>
      <c r="F44" s="2" t="s">
        <v>24</v>
      </c>
      <c r="G44" s="2" t="s">
        <v>36</v>
      </c>
      <c r="H44" s="2" t="s">
        <v>132</v>
      </c>
      <c r="I44" s="2" t="s">
        <v>133</v>
      </c>
      <c r="J44" s="2" t="s">
        <v>168</v>
      </c>
      <c r="K44" t="b">
        <v>0</v>
      </c>
      <c r="L44" s="2" t="s">
        <v>130</v>
      </c>
    </row>
    <row r="45" spans="1:12" hidden="1" x14ac:dyDescent="0.3">
      <c r="A45" s="2" t="s">
        <v>8</v>
      </c>
      <c r="B45" s="2" t="s">
        <v>22</v>
      </c>
      <c r="C45">
        <v>10</v>
      </c>
      <c r="D45" s="2" t="s">
        <v>177</v>
      </c>
      <c r="E45" s="2" t="s">
        <v>10</v>
      </c>
      <c r="F45" s="2" t="s">
        <v>10</v>
      </c>
      <c r="G45" s="2" t="s">
        <v>36</v>
      </c>
      <c r="H45" s="2" t="s">
        <v>132</v>
      </c>
      <c r="I45" s="2" t="s">
        <v>133</v>
      </c>
      <c r="J45" s="2" t="s">
        <v>168</v>
      </c>
      <c r="K45" t="b">
        <v>0</v>
      </c>
      <c r="L45" s="2" t="s">
        <v>130</v>
      </c>
    </row>
    <row r="46" spans="1:12" hidden="1" x14ac:dyDescent="0.3">
      <c r="A46" s="2" t="s">
        <v>8</v>
      </c>
      <c r="B46" s="2" t="s">
        <v>22</v>
      </c>
      <c r="C46">
        <v>11</v>
      </c>
      <c r="D46" s="2" t="s">
        <v>178</v>
      </c>
      <c r="E46" s="2" t="s">
        <v>19</v>
      </c>
      <c r="F46" s="2" t="s">
        <v>19</v>
      </c>
      <c r="G46" s="2" t="s">
        <v>36</v>
      </c>
      <c r="H46" s="2" t="s">
        <v>132</v>
      </c>
      <c r="I46" s="2" t="s">
        <v>133</v>
      </c>
      <c r="J46" s="2" t="s">
        <v>168</v>
      </c>
      <c r="K46" t="b">
        <v>0</v>
      </c>
      <c r="L46" s="2" t="s">
        <v>130</v>
      </c>
    </row>
    <row r="47" spans="1:12" hidden="1" x14ac:dyDescent="0.3">
      <c r="A47" s="2" t="s">
        <v>8</v>
      </c>
      <c r="B47" s="2" t="s">
        <v>22</v>
      </c>
      <c r="C47">
        <v>12</v>
      </c>
      <c r="D47" s="2" t="s">
        <v>179</v>
      </c>
      <c r="E47" s="2" t="s">
        <v>13</v>
      </c>
      <c r="F47" s="2" t="s">
        <v>13</v>
      </c>
      <c r="G47" s="2" t="s">
        <v>36</v>
      </c>
      <c r="H47" s="2" t="s">
        <v>132</v>
      </c>
      <c r="I47" s="2" t="s">
        <v>133</v>
      </c>
      <c r="J47" s="2" t="s">
        <v>168</v>
      </c>
      <c r="K47" t="b">
        <v>0</v>
      </c>
      <c r="L47" s="2" t="s">
        <v>130</v>
      </c>
    </row>
    <row r="48" spans="1:12" hidden="1" x14ac:dyDescent="0.3">
      <c r="A48" s="2" t="s">
        <v>8</v>
      </c>
      <c r="B48" s="2" t="s">
        <v>22</v>
      </c>
      <c r="C48">
        <v>13</v>
      </c>
      <c r="D48" s="2" t="s">
        <v>180</v>
      </c>
      <c r="E48" s="2" t="s">
        <v>16</v>
      </c>
      <c r="F48" s="2" t="s">
        <v>155</v>
      </c>
      <c r="G48" s="2" t="s">
        <v>36</v>
      </c>
      <c r="H48" s="2" t="s">
        <v>132</v>
      </c>
      <c r="I48" s="2" t="s">
        <v>133</v>
      </c>
      <c r="J48" s="2" t="s">
        <v>168</v>
      </c>
      <c r="K48" t="b">
        <v>1</v>
      </c>
      <c r="L48" s="2" t="s">
        <v>130</v>
      </c>
    </row>
    <row r="49" spans="1:12" hidden="1" x14ac:dyDescent="0.3">
      <c r="A49" s="2" t="s">
        <v>8</v>
      </c>
      <c r="B49" s="2" t="s">
        <v>22</v>
      </c>
      <c r="C49">
        <v>14</v>
      </c>
      <c r="D49" s="2" t="s">
        <v>181</v>
      </c>
      <c r="E49" s="2" t="s">
        <v>18</v>
      </c>
      <c r="F49" s="2" t="s">
        <v>18</v>
      </c>
      <c r="G49" s="2" t="s">
        <v>36</v>
      </c>
      <c r="H49" s="2" t="s">
        <v>132</v>
      </c>
      <c r="I49" s="2" t="s">
        <v>133</v>
      </c>
      <c r="J49" s="2" t="s">
        <v>168</v>
      </c>
      <c r="K49" t="b">
        <v>0</v>
      </c>
      <c r="L49" s="2" t="s">
        <v>130</v>
      </c>
    </row>
    <row r="50" spans="1:12" hidden="1" x14ac:dyDescent="0.3">
      <c r="A50" s="2" t="s">
        <v>8</v>
      </c>
      <c r="B50" s="2" t="s">
        <v>22</v>
      </c>
      <c r="C50">
        <v>15</v>
      </c>
      <c r="D50" s="2" t="s">
        <v>182</v>
      </c>
      <c r="E50" s="2" t="s">
        <v>49</v>
      </c>
      <c r="F50" s="2" t="s">
        <v>49</v>
      </c>
      <c r="G50" s="2" t="s">
        <v>38</v>
      </c>
      <c r="H50" s="2" t="s">
        <v>158</v>
      </c>
      <c r="I50" s="2" t="s">
        <v>133</v>
      </c>
      <c r="J50" s="2" t="s">
        <v>168</v>
      </c>
      <c r="K50" t="b">
        <v>0</v>
      </c>
      <c r="L50" s="2" t="s">
        <v>130</v>
      </c>
    </row>
    <row r="51" spans="1:12" hidden="1" x14ac:dyDescent="0.3">
      <c r="A51" s="2" t="s">
        <v>8</v>
      </c>
      <c r="B51" s="2" t="s">
        <v>22</v>
      </c>
      <c r="C51">
        <v>16</v>
      </c>
      <c r="D51" s="2" t="s">
        <v>183</v>
      </c>
      <c r="E51" s="2" t="s">
        <v>37</v>
      </c>
      <c r="F51" s="2" t="s">
        <v>37</v>
      </c>
      <c r="G51" s="2" t="s">
        <v>38</v>
      </c>
      <c r="H51" s="2" t="s">
        <v>158</v>
      </c>
      <c r="I51" s="2" t="s">
        <v>133</v>
      </c>
      <c r="J51" s="2" t="s">
        <v>168</v>
      </c>
      <c r="K51" t="b">
        <v>0</v>
      </c>
      <c r="L51" s="2" t="s">
        <v>130</v>
      </c>
    </row>
    <row r="52" spans="1:12" hidden="1" x14ac:dyDescent="0.3">
      <c r="A52" s="2" t="s">
        <v>8</v>
      </c>
      <c r="B52" s="2" t="s">
        <v>22</v>
      </c>
      <c r="C52">
        <v>17</v>
      </c>
      <c r="D52" s="2" t="s">
        <v>184</v>
      </c>
      <c r="E52" s="2" t="s">
        <v>40</v>
      </c>
      <c r="F52" s="2" t="s">
        <v>40</v>
      </c>
      <c r="G52" s="2" t="s">
        <v>38</v>
      </c>
      <c r="H52" s="2" t="s">
        <v>158</v>
      </c>
      <c r="I52" s="2" t="s">
        <v>133</v>
      </c>
      <c r="J52" s="2" t="s">
        <v>168</v>
      </c>
      <c r="K52" t="b">
        <v>0</v>
      </c>
      <c r="L52" s="2" t="s">
        <v>130</v>
      </c>
    </row>
    <row r="53" spans="1:12" hidden="1" x14ac:dyDescent="0.3">
      <c r="A53" s="2" t="s">
        <v>8</v>
      </c>
      <c r="B53" s="2" t="s">
        <v>22</v>
      </c>
      <c r="C53">
        <v>18</v>
      </c>
      <c r="D53" s="2" t="s">
        <v>185</v>
      </c>
      <c r="E53" s="2" t="s">
        <v>41</v>
      </c>
      <c r="F53" s="2" t="s">
        <v>41</v>
      </c>
      <c r="G53" s="2" t="s">
        <v>38</v>
      </c>
      <c r="H53" s="2" t="s">
        <v>158</v>
      </c>
      <c r="I53" s="2" t="s">
        <v>133</v>
      </c>
      <c r="J53" s="2" t="s">
        <v>168</v>
      </c>
      <c r="K53" t="b">
        <v>0</v>
      </c>
      <c r="L53" s="2" t="s">
        <v>130</v>
      </c>
    </row>
    <row r="54" spans="1:12" hidden="1" x14ac:dyDescent="0.3">
      <c r="A54" s="2" t="s">
        <v>8</v>
      </c>
      <c r="B54" s="2" t="s">
        <v>22</v>
      </c>
      <c r="C54">
        <v>19</v>
      </c>
      <c r="D54" s="2" t="s">
        <v>186</v>
      </c>
      <c r="E54" s="2" t="s">
        <v>39</v>
      </c>
      <c r="F54" s="2" t="s">
        <v>39</v>
      </c>
      <c r="G54" s="2" t="s">
        <v>38</v>
      </c>
      <c r="H54" s="2" t="s">
        <v>158</v>
      </c>
      <c r="I54" s="2" t="s">
        <v>133</v>
      </c>
      <c r="J54" s="2" t="s">
        <v>168</v>
      </c>
      <c r="K54" t="b">
        <v>0</v>
      </c>
      <c r="L54" s="2" t="s">
        <v>130</v>
      </c>
    </row>
    <row r="55" spans="1:12" hidden="1" x14ac:dyDescent="0.3">
      <c r="A55" s="2" t="s">
        <v>8</v>
      </c>
      <c r="B55" s="2" t="s">
        <v>22</v>
      </c>
      <c r="C55">
        <v>20</v>
      </c>
      <c r="D55" s="2" t="s">
        <v>187</v>
      </c>
      <c r="E55" s="2" t="s">
        <v>42</v>
      </c>
      <c r="F55" s="2" t="s">
        <v>42</v>
      </c>
      <c r="G55" s="2" t="s">
        <v>46</v>
      </c>
      <c r="H55" s="2" t="s">
        <v>163</v>
      </c>
      <c r="I55" s="2" t="s">
        <v>133</v>
      </c>
      <c r="J55" s="2" t="s">
        <v>168</v>
      </c>
      <c r="K55" t="b">
        <v>0</v>
      </c>
      <c r="L55" s="2" t="s">
        <v>130</v>
      </c>
    </row>
    <row r="56" spans="1:12" hidden="1" x14ac:dyDescent="0.3">
      <c r="A56" s="2" t="s">
        <v>8</v>
      </c>
      <c r="B56" s="2" t="s">
        <v>22</v>
      </c>
      <c r="C56">
        <v>21</v>
      </c>
      <c r="D56" s="2" t="s">
        <v>188</v>
      </c>
      <c r="E56" s="2" t="s">
        <v>43</v>
      </c>
      <c r="F56" s="2" t="s">
        <v>43</v>
      </c>
      <c r="G56" s="2" t="s">
        <v>46</v>
      </c>
      <c r="H56" s="2" t="s">
        <v>163</v>
      </c>
      <c r="I56" s="2" t="s">
        <v>133</v>
      </c>
      <c r="J56" s="2" t="s">
        <v>168</v>
      </c>
      <c r="K56" t="b">
        <v>0</v>
      </c>
      <c r="L56" s="2" t="s">
        <v>130</v>
      </c>
    </row>
    <row r="57" spans="1:12" hidden="1" x14ac:dyDescent="0.3">
      <c r="A57" s="2" t="s">
        <v>8</v>
      </c>
      <c r="B57" s="2" t="s">
        <v>22</v>
      </c>
      <c r="C57">
        <v>22</v>
      </c>
      <c r="D57" s="2" t="s">
        <v>189</v>
      </c>
      <c r="E57" s="2" t="s">
        <v>44</v>
      </c>
      <c r="F57" s="2" t="s">
        <v>44</v>
      </c>
      <c r="G57" s="2" t="s">
        <v>46</v>
      </c>
      <c r="H57" s="2" t="s">
        <v>163</v>
      </c>
      <c r="I57" s="2" t="s">
        <v>133</v>
      </c>
      <c r="J57" s="2" t="s">
        <v>168</v>
      </c>
      <c r="K57" t="b">
        <v>0</v>
      </c>
      <c r="L57" s="2" t="s">
        <v>130</v>
      </c>
    </row>
    <row r="58" spans="1:12" hidden="1" x14ac:dyDescent="0.3">
      <c r="A58" s="2" t="s">
        <v>8</v>
      </c>
      <c r="B58" s="2" t="s">
        <v>22</v>
      </c>
      <c r="C58">
        <v>23</v>
      </c>
      <c r="D58" s="2" t="s">
        <v>190</v>
      </c>
      <c r="E58" s="2" t="s">
        <v>45</v>
      </c>
      <c r="F58" s="2" t="s">
        <v>45</v>
      </c>
      <c r="G58" s="2" t="s">
        <v>46</v>
      </c>
      <c r="H58" s="2" t="s">
        <v>163</v>
      </c>
      <c r="I58" s="2" t="s">
        <v>133</v>
      </c>
      <c r="J58" s="2" t="s">
        <v>168</v>
      </c>
      <c r="K58" t="b">
        <v>0</v>
      </c>
      <c r="L58" s="2" t="s">
        <v>130</v>
      </c>
    </row>
    <row r="59" spans="1:12" hidden="1" x14ac:dyDescent="0.3">
      <c r="A59" s="2" t="s">
        <v>8</v>
      </c>
      <c r="B59" s="2" t="s">
        <v>23</v>
      </c>
      <c r="C59">
        <v>1</v>
      </c>
      <c r="D59" s="2" t="s">
        <v>191</v>
      </c>
      <c r="E59" s="2" t="s">
        <v>21</v>
      </c>
      <c r="F59" s="2" t="s">
        <v>21</v>
      </c>
      <c r="G59" s="2" t="s">
        <v>36</v>
      </c>
      <c r="H59" s="2" t="s">
        <v>132</v>
      </c>
      <c r="I59" s="2" t="s">
        <v>133</v>
      </c>
      <c r="J59" s="2" t="s">
        <v>192</v>
      </c>
      <c r="K59" t="b">
        <v>0</v>
      </c>
      <c r="L59" s="2" t="s">
        <v>130</v>
      </c>
    </row>
    <row r="60" spans="1:12" hidden="1" x14ac:dyDescent="0.3">
      <c r="A60" s="2" t="s">
        <v>8</v>
      </c>
      <c r="B60" s="2" t="s">
        <v>23</v>
      </c>
      <c r="C60">
        <v>2</v>
      </c>
      <c r="D60" s="2" t="s">
        <v>193</v>
      </c>
      <c r="E60" s="2" t="s">
        <v>28</v>
      </c>
      <c r="F60" s="2" t="s">
        <v>28</v>
      </c>
      <c r="G60" s="2" t="s">
        <v>36</v>
      </c>
      <c r="H60" s="2" t="s">
        <v>132</v>
      </c>
      <c r="I60" s="2" t="s">
        <v>133</v>
      </c>
      <c r="J60" s="2" t="s">
        <v>192</v>
      </c>
      <c r="K60" t="b">
        <v>0</v>
      </c>
      <c r="L60" s="2" t="s">
        <v>130</v>
      </c>
    </row>
    <row r="61" spans="1:12" hidden="1" x14ac:dyDescent="0.3">
      <c r="A61" s="2" t="s">
        <v>8</v>
      </c>
      <c r="B61" s="2" t="s">
        <v>23</v>
      </c>
      <c r="C61">
        <v>3</v>
      </c>
      <c r="D61" s="2" t="s">
        <v>194</v>
      </c>
      <c r="E61" s="2" t="s">
        <v>30</v>
      </c>
      <c r="F61" s="2" t="s">
        <v>30</v>
      </c>
      <c r="G61" s="2" t="s">
        <v>36</v>
      </c>
      <c r="H61" s="2" t="s">
        <v>132</v>
      </c>
      <c r="I61" s="2" t="s">
        <v>133</v>
      </c>
      <c r="J61" s="2" t="s">
        <v>192</v>
      </c>
      <c r="K61" t="b">
        <v>0</v>
      </c>
      <c r="L61" s="2" t="s">
        <v>130</v>
      </c>
    </row>
    <row r="62" spans="1:12" hidden="1" x14ac:dyDescent="0.3">
      <c r="A62" s="2" t="s">
        <v>8</v>
      </c>
      <c r="B62" s="2" t="s">
        <v>23</v>
      </c>
      <c r="C62">
        <v>4</v>
      </c>
      <c r="D62" s="2" t="s">
        <v>195</v>
      </c>
      <c r="E62" s="2" t="s">
        <v>51</v>
      </c>
      <c r="F62" s="2" t="s">
        <v>51</v>
      </c>
      <c r="G62" s="2" t="s">
        <v>36</v>
      </c>
      <c r="H62" s="2" t="s">
        <v>132</v>
      </c>
      <c r="I62" s="2" t="s">
        <v>133</v>
      </c>
      <c r="J62" s="2" t="s">
        <v>192</v>
      </c>
      <c r="K62" t="b">
        <v>0</v>
      </c>
      <c r="L62" s="2" t="s">
        <v>130</v>
      </c>
    </row>
    <row r="63" spans="1:12" hidden="1" x14ac:dyDescent="0.3">
      <c r="A63" s="2" t="s">
        <v>8</v>
      </c>
      <c r="B63" s="2" t="s">
        <v>23</v>
      </c>
      <c r="C63">
        <v>5</v>
      </c>
      <c r="D63" s="2" t="s">
        <v>196</v>
      </c>
      <c r="E63" s="2" t="s">
        <v>32</v>
      </c>
      <c r="F63" s="2" t="s">
        <v>32</v>
      </c>
      <c r="G63" s="2" t="s">
        <v>36</v>
      </c>
      <c r="H63" s="2" t="s">
        <v>132</v>
      </c>
      <c r="I63" s="2" t="s">
        <v>133</v>
      </c>
      <c r="J63" s="2" t="s">
        <v>192</v>
      </c>
      <c r="K63" t="b">
        <v>0</v>
      </c>
      <c r="L63" s="2" t="s">
        <v>130</v>
      </c>
    </row>
    <row r="64" spans="1:12" hidden="1" x14ac:dyDescent="0.3">
      <c r="A64" s="2" t="s">
        <v>8</v>
      </c>
      <c r="B64" s="2" t="s">
        <v>23</v>
      </c>
      <c r="C64">
        <v>6</v>
      </c>
      <c r="D64" s="2" t="s">
        <v>197</v>
      </c>
      <c r="E64" s="2" t="s">
        <v>48</v>
      </c>
      <c r="F64" s="2" t="s">
        <v>48</v>
      </c>
      <c r="G64" s="2" t="s">
        <v>36</v>
      </c>
      <c r="H64" s="2" t="s">
        <v>132</v>
      </c>
      <c r="I64" s="2" t="s">
        <v>133</v>
      </c>
      <c r="J64" s="2" t="s">
        <v>192</v>
      </c>
      <c r="K64" t="b">
        <v>0</v>
      </c>
      <c r="L64" s="2" t="s">
        <v>130</v>
      </c>
    </row>
    <row r="65" spans="1:12" hidden="1" x14ac:dyDescent="0.3">
      <c r="A65" s="2" t="s">
        <v>8</v>
      </c>
      <c r="B65" s="2" t="s">
        <v>23</v>
      </c>
      <c r="C65">
        <v>7</v>
      </c>
      <c r="D65" s="2" t="s">
        <v>198</v>
      </c>
      <c r="E65" s="2" t="s">
        <v>7</v>
      </c>
      <c r="F65" s="2" t="s">
        <v>7</v>
      </c>
      <c r="G65" s="2" t="s">
        <v>36</v>
      </c>
      <c r="H65" s="2" t="s">
        <v>132</v>
      </c>
      <c r="I65" s="2" t="s">
        <v>133</v>
      </c>
      <c r="J65" s="2" t="s">
        <v>192</v>
      </c>
      <c r="K65" t="b">
        <v>0</v>
      </c>
      <c r="L65" s="2" t="s">
        <v>130</v>
      </c>
    </row>
    <row r="66" spans="1:12" hidden="1" x14ac:dyDescent="0.3">
      <c r="A66" s="2" t="s">
        <v>8</v>
      </c>
      <c r="B66" s="2" t="s">
        <v>23</v>
      </c>
      <c r="C66">
        <v>8</v>
      </c>
      <c r="D66" s="2" t="s">
        <v>199</v>
      </c>
      <c r="E66" s="2" t="s">
        <v>31</v>
      </c>
      <c r="F66" s="2" t="s">
        <v>31</v>
      </c>
      <c r="G66" s="2" t="s">
        <v>36</v>
      </c>
      <c r="H66" s="2" t="s">
        <v>132</v>
      </c>
      <c r="I66" s="2" t="s">
        <v>133</v>
      </c>
      <c r="J66" s="2" t="s">
        <v>192</v>
      </c>
      <c r="K66" t="b">
        <v>0</v>
      </c>
      <c r="L66" s="2" t="s">
        <v>130</v>
      </c>
    </row>
    <row r="67" spans="1:12" hidden="1" x14ac:dyDescent="0.3">
      <c r="A67" s="2" t="s">
        <v>8</v>
      </c>
      <c r="B67" s="2" t="s">
        <v>23</v>
      </c>
      <c r="C67">
        <v>9</v>
      </c>
      <c r="D67" s="2" t="s">
        <v>200</v>
      </c>
      <c r="E67" s="2" t="s">
        <v>33</v>
      </c>
      <c r="F67" s="2" t="s">
        <v>33</v>
      </c>
      <c r="G67" s="2" t="s">
        <v>36</v>
      </c>
      <c r="H67" s="2" t="s">
        <v>132</v>
      </c>
      <c r="I67" s="2" t="s">
        <v>133</v>
      </c>
      <c r="J67" s="2" t="s">
        <v>192</v>
      </c>
      <c r="K67" t="b">
        <v>0</v>
      </c>
      <c r="L67" s="2" t="s">
        <v>130</v>
      </c>
    </row>
    <row r="68" spans="1:12" hidden="1" x14ac:dyDescent="0.3">
      <c r="A68" s="2" t="s">
        <v>8</v>
      </c>
      <c r="B68" s="2" t="s">
        <v>23</v>
      </c>
      <c r="C68">
        <v>10</v>
      </c>
      <c r="D68" s="2" t="s">
        <v>201</v>
      </c>
      <c r="E68" s="2" t="s">
        <v>50</v>
      </c>
      <c r="F68" s="2" t="s">
        <v>50</v>
      </c>
      <c r="G68" s="2" t="s">
        <v>36</v>
      </c>
      <c r="H68" s="2" t="s">
        <v>132</v>
      </c>
      <c r="I68" s="2" t="s">
        <v>133</v>
      </c>
      <c r="J68" s="2" t="s">
        <v>192</v>
      </c>
      <c r="K68" t="b">
        <v>0</v>
      </c>
      <c r="L68" s="2" t="s">
        <v>130</v>
      </c>
    </row>
    <row r="69" spans="1:12" hidden="1" x14ac:dyDescent="0.3">
      <c r="A69" s="2" t="s">
        <v>8</v>
      </c>
      <c r="B69" s="2" t="s">
        <v>23</v>
      </c>
      <c r="C69">
        <v>11</v>
      </c>
      <c r="D69" s="2" t="s">
        <v>202</v>
      </c>
      <c r="E69" s="2" t="s">
        <v>17</v>
      </c>
      <c r="F69" s="2" t="s">
        <v>17</v>
      </c>
      <c r="G69" s="2" t="s">
        <v>36</v>
      </c>
      <c r="H69" s="2" t="s">
        <v>132</v>
      </c>
      <c r="I69" s="2" t="s">
        <v>133</v>
      </c>
      <c r="J69" s="2" t="s">
        <v>192</v>
      </c>
      <c r="K69" t="b">
        <v>0</v>
      </c>
      <c r="L69" s="2" t="s">
        <v>130</v>
      </c>
    </row>
    <row r="70" spans="1:12" hidden="1" x14ac:dyDescent="0.3">
      <c r="A70" s="2" t="s">
        <v>8</v>
      </c>
      <c r="B70" s="2" t="s">
        <v>23</v>
      </c>
      <c r="C70">
        <v>12</v>
      </c>
      <c r="D70" s="2" t="s">
        <v>203</v>
      </c>
      <c r="E70" s="2" t="s">
        <v>11</v>
      </c>
      <c r="F70" s="2" t="s">
        <v>11</v>
      </c>
      <c r="G70" s="2" t="s">
        <v>36</v>
      </c>
      <c r="H70" s="2" t="s">
        <v>132</v>
      </c>
      <c r="I70" s="2" t="s">
        <v>133</v>
      </c>
      <c r="J70" s="2" t="s">
        <v>192</v>
      </c>
      <c r="K70" t="b">
        <v>0</v>
      </c>
      <c r="L70" s="2" t="s">
        <v>130</v>
      </c>
    </row>
    <row r="71" spans="1:12" hidden="1" x14ac:dyDescent="0.3">
      <c r="A71" s="2" t="s">
        <v>8</v>
      </c>
      <c r="B71" s="2" t="s">
        <v>23</v>
      </c>
      <c r="C71">
        <v>13</v>
      </c>
      <c r="D71" s="2" t="s">
        <v>204</v>
      </c>
      <c r="E71" s="2" t="s">
        <v>14</v>
      </c>
      <c r="F71" s="2" t="s">
        <v>146</v>
      </c>
      <c r="G71" s="2" t="s">
        <v>36</v>
      </c>
      <c r="H71" s="2" t="s">
        <v>132</v>
      </c>
      <c r="I71" s="2" t="s">
        <v>133</v>
      </c>
      <c r="J71" s="2" t="s">
        <v>192</v>
      </c>
      <c r="K71" t="b">
        <v>1</v>
      </c>
      <c r="L71" s="2" t="s">
        <v>130</v>
      </c>
    </row>
    <row r="72" spans="1:12" hidden="1" x14ac:dyDescent="0.3">
      <c r="A72" s="2" t="s">
        <v>8</v>
      </c>
      <c r="B72" s="2" t="s">
        <v>23</v>
      </c>
      <c r="C72">
        <v>14</v>
      </c>
      <c r="D72" s="2" t="s">
        <v>205</v>
      </c>
      <c r="E72" s="2" t="s">
        <v>25</v>
      </c>
      <c r="F72" s="2" t="s">
        <v>25</v>
      </c>
      <c r="G72" s="2" t="s">
        <v>36</v>
      </c>
      <c r="H72" s="2" t="s">
        <v>132</v>
      </c>
      <c r="I72" s="2" t="s">
        <v>133</v>
      </c>
      <c r="J72" s="2" t="s">
        <v>192</v>
      </c>
      <c r="K72" t="b">
        <v>0</v>
      </c>
      <c r="L72" s="2" t="s">
        <v>130</v>
      </c>
    </row>
    <row r="73" spans="1:12" hidden="1" x14ac:dyDescent="0.3">
      <c r="A73" s="2" t="s">
        <v>8</v>
      </c>
      <c r="B73" s="2" t="s">
        <v>23</v>
      </c>
      <c r="C73">
        <v>15</v>
      </c>
      <c r="D73" s="2" t="s">
        <v>206</v>
      </c>
      <c r="E73" s="2" t="s">
        <v>26</v>
      </c>
      <c r="F73" s="2" t="s">
        <v>26</v>
      </c>
      <c r="G73" s="2" t="s">
        <v>36</v>
      </c>
      <c r="H73" s="2" t="s">
        <v>132</v>
      </c>
      <c r="I73" s="2" t="s">
        <v>133</v>
      </c>
      <c r="J73" s="2" t="s">
        <v>192</v>
      </c>
      <c r="K73" t="b">
        <v>0</v>
      </c>
      <c r="L73" s="2" t="s">
        <v>130</v>
      </c>
    </row>
    <row r="74" spans="1:12" hidden="1" x14ac:dyDescent="0.3">
      <c r="A74" s="2" t="s">
        <v>8</v>
      </c>
      <c r="B74" s="2" t="s">
        <v>23</v>
      </c>
      <c r="C74">
        <v>16</v>
      </c>
      <c r="D74" s="2" t="s">
        <v>207</v>
      </c>
      <c r="E74" s="2" t="s">
        <v>27</v>
      </c>
      <c r="F74" s="2" t="s">
        <v>27</v>
      </c>
      <c r="G74" s="2" t="s">
        <v>36</v>
      </c>
      <c r="H74" s="2" t="s">
        <v>132</v>
      </c>
      <c r="I74" s="2" t="s">
        <v>133</v>
      </c>
      <c r="J74" s="2" t="s">
        <v>192</v>
      </c>
      <c r="K74" t="b">
        <v>0</v>
      </c>
      <c r="L74" s="2" t="s">
        <v>130</v>
      </c>
    </row>
    <row r="75" spans="1:12" hidden="1" x14ac:dyDescent="0.3">
      <c r="A75" s="2" t="s">
        <v>8</v>
      </c>
      <c r="B75" s="2" t="s">
        <v>23</v>
      </c>
      <c r="C75">
        <v>17</v>
      </c>
      <c r="D75" s="2" t="s">
        <v>208</v>
      </c>
      <c r="E75" s="2" t="s">
        <v>47</v>
      </c>
      <c r="F75" s="2" t="s">
        <v>47</v>
      </c>
      <c r="G75" s="2" t="s">
        <v>36</v>
      </c>
      <c r="H75" s="2" t="s">
        <v>132</v>
      </c>
      <c r="I75" s="2" t="s">
        <v>133</v>
      </c>
      <c r="J75" s="2" t="s">
        <v>192</v>
      </c>
      <c r="K75" t="b">
        <v>0</v>
      </c>
      <c r="L75" s="2" t="s">
        <v>130</v>
      </c>
    </row>
    <row r="76" spans="1:12" hidden="1" x14ac:dyDescent="0.3">
      <c r="A76" s="2" t="s">
        <v>8</v>
      </c>
      <c r="B76" s="2" t="s">
        <v>23</v>
      </c>
      <c r="C76">
        <v>18</v>
      </c>
      <c r="D76" s="2" t="s">
        <v>209</v>
      </c>
      <c r="E76" s="2" t="s">
        <v>24</v>
      </c>
      <c r="F76" s="2" t="s">
        <v>24</v>
      </c>
      <c r="G76" s="2" t="s">
        <v>36</v>
      </c>
      <c r="H76" s="2" t="s">
        <v>132</v>
      </c>
      <c r="I76" s="2" t="s">
        <v>133</v>
      </c>
      <c r="J76" s="2" t="s">
        <v>192</v>
      </c>
      <c r="K76" t="b">
        <v>0</v>
      </c>
      <c r="L76" s="2" t="s">
        <v>130</v>
      </c>
    </row>
    <row r="77" spans="1:12" hidden="1" x14ac:dyDescent="0.3">
      <c r="A77" s="2" t="s">
        <v>8</v>
      </c>
      <c r="B77" s="2" t="s">
        <v>23</v>
      </c>
      <c r="C77">
        <v>19</v>
      </c>
      <c r="D77" s="2" t="s">
        <v>210</v>
      </c>
      <c r="E77" s="2" t="s">
        <v>19</v>
      </c>
      <c r="F77" s="2" t="s">
        <v>19</v>
      </c>
      <c r="G77" s="2" t="s">
        <v>36</v>
      </c>
      <c r="H77" s="2" t="s">
        <v>132</v>
      </c>
      <c r="I77" s="2" t="s">
        <v>133</v>
      </c>
      <c r="J77" s="2" t="s">
        <v>192</v>
      </c>
      <c r="K77" t="b">
        <v>0</v>
      </c>
      <c r="L77" s="2" t="s">
        <v>130</v>
      </c>
    </row>
    <row r="78" spans="1:12" hidden="1" x14ac:dyDescent="0.3">
      <c r="A78" s="2" t="s">
        <v>8</v>
      </c>
      <c r="B78" s="2" t="s">
        <v>23</v>
      </c>
      <c r="C78">
        <v>20</v>
      </c>
      <c r="D78" s="2" t="s">
        <v>211</v>
      </c>
      <c r="E78" s="2" t="s">
        <v>13</v>
      </c>
      <c r="F78" s="2" t="s">
        <v>13</v>
      </c>
      <c r="G78" s="2" t="s">
        <v>36</v>
      </c>
      <c r="H78" s="2" t="s">
        <v>132</v>
      </c>
      <c r="I78" s="2" t="s">
        <v>133</v>
      </c>
      <c r="J78" s="2" t="s">
        <v>192</v>
      </c>
      <c r="K78" t="b">
        <v>0</v>
      </c>
      <c r="L78" s="2" t="s">
        <v>130</v>
      </c>
    </row>
    <row r="79" spans="1:12" hidden="1" x14ac:dyDescent="0.3">
      <c r="A79" s="2" t="s">
        <v>8</v>
      </c>
      <c r="B79" s="2" t="s">
        <v>23</v>
      </c>
      <c r="C79">
        <v>21</v>
      </c>
      <c r="D79" s="2" t="s">
        <v>212</v>
      </c>
      <c r="E79" s="2" t="s">
        <v>16</v>
      </c>
      <c r="F79" s="2" t="s">
        <v>155</v>
      </c>
      <c r="G79" s="2" t="s">
        <v>36</v>
      </c>
      <c r="H79" s="2" t="s">
        <v>132</v>
      </c>
      <c r="I79" s="2" t="s">
        <v>133</v>
      </c>
      <c r="J79" s="2" t="s">
        <v>192</v>
      </c>
      <c r="K79" t="b">
        <v>1</v>
      </c>
      <c r="L79" s="2" t="s">
        <v>130</v>
      </c>
    </row>
    <row r="80" spans="1:12" hidden="1" x14ac:dyDescent="0.3">
      <c r="A80" s="2" t="s">
        <v>8</v>
      </c>
      <c r="B80" s="2" t="s">
        <v>23</v>
      </c>
      <c r="C80">
        <v>22</v>
      </c>
      <c r="D80" s="2" t="s">
        <v>213</v>
      </c>
      <c r="E80" s="2" t="s">
        <v>18</v>
      </c>
      <c r="F80" s="2" t="s">
        <v>18</v>
      </c>
      <c r="G80" s="2" t="s">
        <v>36</v>
      </c>
      <c r="H80" s="2" t="s">
        <v>132</v>
      </c>
      <c r="I80" s="2" t="s">
        <v>133</v>
      </c>
      <c r="J80" s="2" t="s">
        <v>192</v>
      </c>
      <c r="K80" t="b">
        <v>0</v>
      </c>
      <c r="L80" s="2" t="s">
        <v>130</v>
      </c>
    </row>
    <row r="81" spans="1:12" hidden="1" x14ac:dyDescent="0.3">
      <c r="A81" s="2" t="s">
        <v>8</v>
      </c>
      <c r="B81" s="2" t="s">
        <v>23</v>
      </c>
      <c r="C81">
        <v>23</v>
      </c>
      <c r="D81" s="2" t="s">
        <v>214</v>
      </c>
      <c r="E81" s="2" t="s">
        <v>49</v>
      </c>
      <c r="F81" s="2" t="s">
        <v>49</v>
      </c>
      <c r="G81" s="2" t="s">
        <v>38</v>
      </c>
      <c r="H81" s="2" t="s">
        <v>158</v>
      </c>
      <c r="I81" s="2" t="s">
        <v>133</v>
      </c>
      <c r="J81" s="2" t="s">
        <v>192</v>
      </c>
      <c r="K81" t="b">
        <v>0</v>
      </c>
      <c r="L81" s="2" t="s">
        <v>130</v>
      </c>
    </row>
    <row r="82" spans="1:12" hidden="1" x14ac:dyDescent="0.3">
      <c r="A82" s="2" t="s">
        <v>8</v>
      </c>
      <c r="B82" s="2" t="s">
        <v>23</v>
      </c>
      <c r="C82">
        <v>24</v>
      </c>
      <c r="D82" s="2" t="s">
        <v>215</v>
      </c>
      <c r="E82" s="2" t="s">
        <v>37</v>
      </c>
      <c r="F82" s="2" t="s">
        <v>37</v>
      </c>
      <c r="G82" s="2" t="s">
        <v>38</v>
      </c>
      <c r="H82" s="2" t="s">
        <v>158</v>
      </c>
      <c r="I82" s="2" t="s">
        <v>133</v>
      </c>
      <c r="J82" s="2" t="s">
        <v>192</v>
      </c>
      <c r="K82" t="b">
        <v>0</v>
      </c>
      <c r="L82" s="2" t="s">
        <v>130</v>
      </c>
    </row>
    <row r="83" spans="1:12" hidden="1" x14ac:dyDescent="0.3">
      <c r="A83" s="2" t="s">
        <v>8</v>
      </c>
      <c r="B83" s="2" t="s">
        <v>23</v>
      </c>
      <c r="C83">
        <v>25</v>
      </c>
      <c r="D83" s="2" t="s">
        <v>216</v>
      </c>
      <c r="E83" s="2" t="s">
        <v>40</v>
      </c>
      <c r="F83" s="2" t="s">
        <v>40</v>
      </c>
      <c r="G83" s="2" t="s">
        <v>38</v>
      </c>
      <c r="H83" s="2" t="s">
        <v>158</v>
      </c>
      <c r="I83" s="2" t="s">
        <v>133</v>
      </c>
      <c r="J83" s="2" t="s">
        <v>192</v>
      </c>
      <c r="K83" t="b">
        <v>0</v>
      </c>
      <c r="L83" s="2" t="s">
        <v>130</v>
      </c>
    </row>
    <row r="84" spans="1:12" hidden="1" x14ac:dyDescent="0.3">
      <c r="A84" s="2" t="s">
        <v>8</v>
      </c>
      <c r="B84" s="2" t="s">
        <v>23</v>
      </c>
      <c r="C84">
        <v>26</v>
      </c>
      <c r="D84" s="2" t="s">
        <v>217</v>
      </c>
      <c r="E84" s="2" t="s">
        <v>41</v>
      </c>
      <c r="F84" s="2" t="s">
        <v>41</v>
      </c>
      <c r="G84" s="2" t="s">
        <v>38</v>
      </c>
      <c r="H84" s="2" t="s">
        <v>158</v>
      </c>
      <c r="I84" s="2" t="s">
        <v>133</v>
      </c>
      <c r="J84" s="2" t="s">
        <v>192</v>
      </c>
      <c r="K84" t="b">
        <v>0</v>
      </c>
      <c r="L84" s="2" t="s">
        <v>130</v>
      </c>
    </row>
    <row r="85" spans="1:12" hidden="1" x14ac:dyDescent="0.3">
      <c r="A85" s="2" t="s">
        <v>8</v>
      </c>
      <c r="B85" s="2" t="s">
        <v>23</v>
      </c>
      <c r="C85">
        <v>27</v>
      </c>
      <c r="D85" s="2" t="s">
        <v>218</v>
      </c>
      <c r="E85" s="2" t="s">
        <v>39</v>
      </c>
      <c r="F85" s="2" t="s">
        <v>39</v>
      </c>
      <c r="G85" s="2" t="s">
        <v>38</v>
      </c>
      <c r="H85" s="2" t="s">
        <v>158</v>
      </c>
      <c r="I85" s="2" t="s">
        <v>133</v>
      </c>
      <c r="J85" s="2" t="s">
        <v>192</v>
      </c>
      <c r="K85" t="b">
        <v>0</v>
      </c>
      <c r="L85" s="2" t="s">
        <v>130</v>
      </c>
    </row>
    <row r="86" spans="1:12" hidden="1" x14ac:dyDescent="0.3">
      <c r="A86" s="2" t="s">
        <v>8</v>
      </c>
      <c r="B86" s="2" t="s">
        <v>23</v>
      </c>
      <c r="C86">
        <v>28</v>
      </c>
      <c r="D86" s="2" t="s">
        <v>219</v>
      </c>
      <c r="E86" s="2" t="s">
        <v>42</v>
      </c>
      <c r="F86" s="2" t="s">
        <v>42</v>
      </c>
      <c r="G86" s="2" t="s">
        <v>46</v>
      </c>
      <c r="H86" s="2" t="s">
        <v>163</v>
      </c>
      <c r="I86" s="2" t="s">
        <v>133</v>
      </c>
      <c r="J86" s="2" t="s">
        <v>192</v>
      </c>
      <c r="K86" t="b">
        <v>0</v>
      </c>
      <c r="L86" s="2" t="s">
        <v>130</v>
      </c>
    </row>
    <row r="87" spans="1:12" hidden="1" x14ac:dyDescent="0.3">
      <c r="A87" s="2" t="s">
        <v>8</v>
      </c>
      <c r="B87" s="2" t="s">
        <v>23</v>
      </c>
      <c r="C87">
        <v>29</v>
      </c>
      <c r="D87" s="2" t="s">
        <v>220</v>
      </c>
      <c r="E87" s="2" t="s">
        <v>43</v>
      </c>
      <c r="F87" s="2" t="s">
        <v>43</v>
      </c>
      <c r="G87" s="2" t="s">
        <v>46</v>
      </c>
      <c r="H87" s="2" t="s">
        <v>163</v>
      </c>
      <c r="I87" s="2" t="s">
        <v>133</v>
      </c>
      <c r="J87" s="2" t="s">
        <v>192</v>
      </c>
      <c r="K87" t="b">
        <v>0</v>
      </c>
      <c r="L87" s="2" t="s">
        <v>130</v>
      </c>
    </row>
    <row r="88" spans="1:12" hidden="1" x14ac:dyDescent="0.3">
      <c r="A88" s="2" t="s">
        <v>8</v>
      </c>
      <c r="B88" s="2" t="s">
        <v>23</v>
      </c>
      <c r="C88">
        <v>30</v>
      </c>
      <c r="D88" s="2" t="s">
        <v>221</v>
      </c>
      <c r="E88" s="2" t="s">
        <v>44</v>
      </c>
      <c r="F88" s="2" t="s">
        <v>44</v>
      </c>
      <c r="G88" s="2" t="s">
        <v>46</v>
      </c>
      <c r="H88" s="2" t="s">
        <v>163</v>
      </c>
      <c r="I88" s="2" t="s">
        <v>133</v>
      </c>
      <c r="J88" s="2" t="s">
        <v>192</v>
      </c>
      <c r="K88" t="b">
        <v>0</v>
      </c>
      <c r="L88" s="2" t="s">
        <v>130</v>
      </c>
    </row>
    <row r="89" spans="1:12" hidden="1" x14ac:dyDescent="0.3">
      <c r="A89" s="2" t="s">
        <v>8</v>
      </c>
      <c r="B89" s="2" t="s">
        <v>23</v>
      </c>
      <c r="C89">
        <v>31</v>
      </c>
      <c r="D89" s="2" t="s">
        <v>222</v>
      </c>
      <c r="E89" s="2" t="s">
        <v>45</v>
      </c>
      <c r="F89" s="2" t="s">
        <v>45</v>
      </c>
      <c r="G89" s="2" t="s">
        <v>46</v>
      </c>
      <c r="H89" s="2" t="s">
        <v>163</v>
      </c>
      <c r="I89" s="2" t="s">
        <v>133</v>
      </c>
      <c r="J89" s="2" t="s">
        <v>192</v>
      </c>
      <c r="K89" t="b">
        <v>0</v>
      </c>
      <c r="L89" s="2" t="s">
        <v>130</v>
      </c>
    </row>
    <row r="90" spans="1:12" x14ac:dyDescent="0.3">
      <c r="A90" s="2" t="s">
        <v>8</v>
      </c>
      <c r="B90" s="2" t="s">
        <v>223</v>
      </c>
      <c r="C90">
        <v>1</v>
      </c>
      <c r="D90" s="2" t="s">
        <v>224</v>
      </c>
      <c r="E90" s="2" t="s">
        <v>56</v>
      </c>
      <c r="F90" s="2" t="s">
        <v>225</v>
      </c>
      <c r="G90" s="2" t="s">
        <v>36</v>
      </c>
      <c r="H90" s="2" t="s">
        <v>132</v>
      </c>
      <c r="I90" s="2" t="s">
        <v>133</v>
      </c>
      <c r="J90" s="2" t="s">
        <v>226</v>
      </c>
      <c r="K90" t="b">
        <v>1</v>
      </c>
      <c r="L90" s="2" t="s">
        <v>130</v>
      </c>
    </row>
    <row r="91" spans="1:12" x14ac:dyDescent="0.3">
      <c r="A91" s="2" t="s">
        <v>8</v>
      </c>
      <c r="B91" s="2" t="s">
        <v>223</v>
      </c>
      <c r="C91">
        <v>2</v>
      </c>
      <c r="D91" s="2" t="s">
        <v>227</v>
      </c>
      <c r="E91" s="2" t="s">
        <v>71</v>
      </c>
      <c r="F91" s="2" t="s">
        <v>228</v>
      </c>
      <c r="G91" s="2" t="s">
        <v>36</v>
      </c>
      <c r="H91" s="2" t="s">
        <v>132</v>
      </c>
      <c r="I91" s="2" t="s">
        <v>133</v>
      </c>
      <c r="J91" s="2" t="s">
        <v>226</v>
      </c>
      <c r="K91" t="b">
        <v>1</v>
      </c>
      <c r="L91" s="2" t="s">
        <v>130</v>
      </c>
    </row>
    <row r="92" spans="1:12" x14ac:dyDescent="0.3">
      <c r="A92" s="2" t="s">
        <v>8</v>
      </c>
      <c r="B92" s="2" t="s">
        <v>223</v>
      </c>
      <c r="C92">
        <v>3</v>
      </c>
      <c r="D92" s="2" t="s">
        <v>229</v>
      </c>
      <c r="E92" s="2" t="s">
        <v>28</v>
      </c>
      <c r="F92" s="2" t="s">
        <v>28</v>
      </c>
      <c r="G92" s="2" t="s">
        <v>36</v>
      </c>
      <c r="H92" s="2" t="s">
        <v>132</v>
      </c>
      <c r="I92" s="2" t="s">
        <v>133</v>
      </c>
      <c r="J92" s="2" t="s">
        <v>226</v>
      </c>
      <c r="K92" t="b">
        <v>0</v>
      </c>
      <c r="L92" s="2" t="s">
        <v>130</v>
      </c>
    </row>
    <row r="93" spans="1:12" x14ac:dyDescent="0.3">
      <c r="A93" s="2" t="s">
        <v>8</v>
      </c>
      <c r="B93" s="2" t="s">
        <v>223</v>
      </c>
      <c r="C93">
        <v>4</v>
      </c>
      <c r="D93" s="2" t="s">
        <v>230</v>
      </c>
      <c r="E93" s="2" t="s">
        <v>30</v>
      </c>
      <c r="F93" s="2" t="s">
        <v>30</v>
      </c>
      <c r="G93" s="2" t="s">
        <v>36</v>
      </c>
      <c r="H93" s="2" t="s">
        <v>132</v>
      </c>
      <c r="I93" s="2" t="s">
        <v>133</v>
      </c>
      <c r="J93" s="2" t="s">
        <v>226</v>
      </c>
      <c r="K93" t="b">
        <v>0</v>
      </c>
      <c r="L93" s="2" t="s">
        <v>130</v>
      </c>
    </row>
    <row r="94" spans="1:12" x14ac:dyDescent="0.3">
      <c r="A94" s="2" t="s">
        <v>8</v>
      </c>
      <c r="B94" s="2" t="s">
        <v>223</v>
      </c>
      <c r="C94">
        <v>5</v>
      </c>
      <c r="D94" s="2" t="s">
        <v>231</v>
      </c>
      <c r="E94" s="2" t="s">
        <v>51</v>
      </c>
      <c r="F94" s="2" t="s">
        <v>51</v>
      </c>
      <c r="G94" s="2" t="s">
        <v>36</v>
      </c>
      <c r="H94" s="2" t="s">
        <v>132</v>
      </c>
      <c r="I94" s="2" t="s">
        <v>133</v>
      </c>
      <c r="J94" s="2" t="s">
        <v>226</v>
      </c>
      <c r="K94" t="b">
        <v>0</v>
      </c>
      <c r="L94" s="2" t="s">
        <v>130</v>
      </c>
    </row>
    <row r="95" spans="1:12" x14ac:dyDescent="0.3">
      <c r="A95" s="2" t="s">
        <v>8</v>
      </c>
      <c r="B95" s="2" t="s">
        <v>223</v>
      </c>
      <c r="C95">
        <v>6</v>
      </c>
      <c r="D95" s="2" t="s">
        <v>232</v>
      </c>
      <c r="E95" s="2" t="s">
        <v>70</v>
      </c>
      <c r="F95" s="2" t="s">
        <v>70</v>
      </c>
      <c r="G95" s="2" t="s">
        <v>36</v>
      </c>
      <c r="H95" s="2" t="s">
        <v>132</v>
      </c>
      <c r="I95" s="2" t="s">
        <v>133</v>
      </c>
      <c r="J95" s="2" t="s">
        <v>226</v>
      </c>
      <c r="K95" t="b">
        <v>0</v>
      </c>
      <c r="L95" s="2" t="s">
        <v>130</v>
      </c>
    </row>
    <row r="96" spans="1:12" x14ac:dyDescent="0.3">
      <c r="A96" s="2" t="s">
        <v>8</v>
      </c>
      <c r="B96" s="2" t="s">
        <v>223</v>
      </c>
      <c r="C96">
        <v>7</v>
      </c>
      <c r="D96" s="2" t="s">
        <v>233</v>
      </c>
      <c r="E96" s="2" t="s">
        <v>48</v>
      </c>
      <c r="F96" s="2" t="s">
        <v>48</v>
      </c>
      <c r="G96" s="2" t="s">
        <v>36</v>
      </c>
      <c r="H96" s="2" t="s">
        <v>132</v>
      </c>
      <c r="I96" s="2" t="s">
        <v>133</v>
      </c>
      <c r="J96" s="2" t="s">
        <v>226</v>
      </c>
      <c r="K96" t="b">
        <v>0</v>
      </c>
      <c r="L96" s="2" t="s">
        <v>130</v>
      </c>
    </row>
    <row r="97" spans="1:12" x14ac:dyDescent="0.3">
      <c r="A97" s="2" t="s">
        <v>8</v>
      </c>
      <c r="B97" s="2" t="s">
        <v>223</v>
      </c>
      <c r="C97">
        <v>8</v>
      </c>
      <c r="D97" s="2" t="s">
        <v>234</v>
      </c>
      <c r="E97" s="2" t="s">
        <v>7</v>
      </c>
      <c r="F97" s="2" t="s">
        <v>7</v>
      </c>
      <c r="G97" s="2" t="s">
        <v>36</v>
      </c>
      <c r="H97" s="2" t="s">
        <v>132</v>
      </c>
      <c r="I97" s="2" t="s">
        <v>133</v>
      </c>
      <c r="J97" s="2" t="s">
        <v>226</v>
      </c>
      <c r="K97" t="b">
        <v>0</v>
      </c>
      <c r="L97" s="2" t="s">
        <v>130</v>
      </c>
    </row>
    <row r="98" spans="1:12" x14ac:dyDescent="0.3">
      <c r="A98" s="2" t="s">
        <v>8</v>
      </c>
      <c r="B98" s="2" t="s">
        <v>223</v>
      </c>
      <c r="C98">
        <v>9</v>
      </c>
      <c r="D98" s="2" t="s">
        <v>235</v>
      </c>
      <c r="E98" s="2" t="s">
        <v>31</v>
      </c>
      <c r="F98" s="2" t="s">
        <v>31</v>
      </c>
      <c r="G98" s="2" t="s">
        <v>36</v>
      </c>
      <c r="H98" s="2" t="s">
        <v>132</v>
      </c>
      <c r="I98" s="2" t="s">
        <v>133</v>
      </c>
      <c r="J98" s="2" t="s">
        <v>226</v>
      </c>
      <c r="K98" t="b">
        <v>0</v>
      </c>
      <c r="L98" s="2" t="s">
        <v>130</v>
      </c>
    </row>
    <row r="99" spans="1:12" x14ac:dyDescent="0.3">
      <c r="A99" s="2" t="s">
        <v>8</v>
      </c>
      <c r="B99" s="2" t="s">
        <v>223</v>
      </c>
      <c r="C99">
        <v>10</v>
      </c>
      <c r="D99" s="2" t="s">
        <v>236</v>
      </c>
      <c r="E99" s="2" t="s">
        <v>33</v>
      </c>
      <c r="F99" s="2" t="s">
        <v>33</v>
      </c>
      <c r="G99" s="2" t="s">
        <v>36</v>
      </c>
      <c r="H99" s="2" t="s">
        <v>132</v>
      </c>
      <c r="I99" s="2" t="s">
        <v>133</v>
      </c>
      <c r="J99" s="2" t="s">
        <v>226</v>
      </c>
      <c r="K99" t="b">
        <v>0</v>
      </c>
      <c r="L99" s="2" t="s">
        <v>130</v>
      </c>
    </row>
    <row r="100" spans="1:12" x14ac:dyDescent="0.3">
      <c r="A100" s="2" t="s">
        <v>8</v>
      </c>
      <c r="B100" s="2" t="s">
        <v>223</v>
      </c>
      <c r="C100">
        <v>11</v>
      </c>
      <c r="D100" s="2" t="s">
        <v>237</v>
      </c>
      <c r="E100" s="2" t="s">
        <v>58</v>
      </c>
      <c r="F100" s="2" t="s">
        <v>58</v>
      </c>
      <c r="G100" s="2" t="s">
        <v>36</v>
      </c>
      <c r="H100" s="2" t="s">
        <v>132</v>
      </c>
      <c r="I100" s="2" t="s">
        <v>133</v>
      </c>
      <c r="J100" s="2" t="s">
        <v>226</v>
      </c>
      <c r="K100" t="b">
        <v>0</v>
      </c>
      <c r="L100" s="2" t="s">
        <v>130</v>
      </c>
    </row>
    <row r="101" spans="1:12" x14ac:dyDescent="0.3">
      <c r="A101" s="2" t="s">
        <v>8</v>
      </c>
      <c r="B101" s="2" t="s">
        <v>223</v>
      </c>
      <c r="C101">
        <v>12</v>
      </c>
      <c r="D101" s="2" t="s">
        <v>238</v>
      </c>
      <c r="E101" s="2" t="s">
        <v>59</v>
      </c>
      <c r="F101" s="2" t="s">
        <v>239</v>
      </c>
      <c r="G101" s="2" t="s">
        <v>36</v>
      </c>
      <c r="H101" s="2" t="s">
        <v>132</v>
      </c>
      <c r="I101" s="2" t="s">
        <v>133</v>
      </c>
      <c r="J101" s="2" t="s">
        <v>226</v>
      </c>
      <c r="K101" t="b">
        <v>1</v>
      </c>
      <c r="L101" s="2" t="s">
        <v>130</v>
      </c>
    </row>
    <row r="102" spans="1:12" x14ac:dyDescent="0.3">
      <c r="A102" s="2" t="s">
        <v>8</v>
      </c>
      <c r="B102" s="2" t="s">
        <v>223</v>
      </c>
      <c r="C102">
        <v>13</v>
      </c>
      <c r="D102" s="2" t="s">
        <v>240</v>
      </c>
      <c r="E102" s="2" t="s">
        <v>61</v>
      </c>
      <c r="F102" s="2" t="s">
        <v>241</v>
      </c>
      <c r="G102" s="2" t="s">
        <v>36</v>
      </c>
      <c r="H102" s="2" t="s">
        <v>132</v>
      </c>
      <c r="I102" s="2" t="s">
        <v>133</v>
      </c>
      <c r="J102" s="2" t="s">
        <v>226</v>
      </c>
      <c r="K102" t="b">
        <v>1</v>
      </c>
      <c r="L102" s="2" t="s">
        <v>130</v>
      </c>
    </row>
    <row r="103" spans="1:12" x14ac:dyDescent="0.3">
      <c r="A103" s="2" t="s">
        <v>8</v>
      </c>
      <c r="B103" s="2" t="s">
        <v>223</v>
      </c>
      <c r="C103">
        <v>14</v>
      </c>
      <c r="D103" s="2" t="s">
        <v>242</v>
      </c>
      <c r="E103" s="2" t="s">
        <v>62</v>
      </c>
      <c r="F103" s="2" t="s">
        <v>62</v>
      </c>
      <c r="G103" s="2" t="s">
        <v>36</v>
      </c>
      <c r="H103" s="2" t="s">
        <v>132</v>
      </c>
      <c r="I103" s="2" t="s">
        <v>133</v>
      </c>
      <c r="J103" s="2" t="s">
        <v>226</v>
      </c>
      <c r="K103" t="b">
        <v>0</v>
      </c>
      <c r="L103" s="2" t="s">
        <v>130</v>
      </c>
    </row>
    <row r="104" spans="1:12" x14ac:dyDescent="0.3">
      <c r="A104" s="2" t="s">
        <v>8</v>
      </c>
      <c r="B104" s="2" t="s">
        <v>223</v>
      </c>
      <c r="C104">
        <v>15</v>
      </c>
      <c r="D104" s="2" t="s">
        <v>243</v>
      </c>
      <c r="E104" s="2" t="s">
        <v>53</v>
      </c>
      <c r="F104" s="2" t="s">
        <v>53</v>
      </c>
      <c r="G104" s="2" t="s">
        <v>36</v>
      </c>
      <c r="H104" s="2" t="s">
        <v>132</v>
      </c>
      <c r="I104" s="2" t="s">
        <v>133</v>
      </c>
      <c r="J104" s="2" t="s">
        <v>226</v>
      </c>
      <c r="K104" t="b">
        <v>0</v>
      </c>
      <c r="L104" s="2" t="s">
        <v>130</v>
      </c>
    </row>
    <row r="105" spans="1:12" x14ac:dyDescent="0.3">
      <c r="A105" s="2" t="s">
        <v>8</v>
      </c>
      <c r="B105" s="2" t="s">
        <v>223</v>
      </c>
      <c r="C105">
        <v>16</v>
      </c>
      <c r="D105" s="2" t="s">
        <v>244</v>
      </c>
      <c r="E105" s="2" t="s">
        <v>17</v>
      </c>
      <c r="F105" s="2" t="s">
        <v>17</v>
      </c>
      <c r="G105" s="2" t="s">
        <v>36</v>
      </c>
      <c r="H105" s="2" t="s">
        <v>132</v>
      </c>
      <c r="I105" s="2" t="s">
        <v>133</v>
      </c>
      <c r="J105" s="2" t="s">
        <v>226</v>
      </c>
      <c r="K105" t="b">
        <v>0</v>
      </c>
      <c r="L105" s="2" t="s">
        <v>130</v>
      </c>
    </row>
    <row r="106" spans="1:12" x14ac:dyDescent="0.3">
      <c r="A106" s="2" t="s">
        <v>8</v>
      </c>
      <c r="B106" s="2" t="s">
        <v>223</v>
      </c>
      <c r="C106">
        <v>17</v>
      </c>
      <c r="D106" s="2" t="s">
        <v>245</v>
      </c>
      <c r="E106" s="2" t="s">
        <v>60</v>
      </c>
      <c r="F106" s="2" t="s">
        <v>60</v>
      </c>
      <c r="G106" s="2" t="s">
        <v>36</v>
      </c>
      <c r="H106" s="2" t="s">
        <v>132</v>
      </c>
      <c r="I106" s="2" t="s">
        <v>133</v>
      </c>
      <c r="J106" s="2" t="s">
        <v>226</v>
      </c>
      <c r="K106" t="b">
        <v>0</v>
      </c>
      <c r="L106" s="2" t="s">
        <v>130</v>
      </c>
    </row>
    <row r="107" spans="1:12" x14ac:dyDescent="0.3">
      <c r="A107" s="2" t="s">
        <v>8</v>
      </c>
      <c r="B107" s="2" t="s">
        <v>223</v>
      </c>
      <c r="C107">
        <v>18</v>
      </c>
      <c r="D107" s="2" t="s">
        <v>246</v>
      </c>
      <c r="E107" s="2" t="s">
        <v>11</v>
      </c>
      <c r="F107" s="2" t="s">
        <v>11</v>
      </c>
      <c r="G107" s="2" t="s">
        <v>36</v>
      </c>
      <c r="H107" s="2" t="s">
        <v>132</v>
      </c>
      <c r="I107" s="2" t="s">
        <v>133</v>
      </c>
      <c r="J107" s="2" t="s">
        <v>226</v>
      </c>
      <c r="K107" t="b">
        <v>0</v>
      </c>
      <c r="L107" s="2" t="s">
        <v>130</v>
      </c>
    </row>
    <row r="108" spans="1:12" x14ac:dyDescent="0.3">
      <c r="A108" s="2" t="s">
        <v>8</v>
      </c>
      <c r="B108" s="2" t="s">
        <v>223</v>
      </c>
      <c r="C108">
        <v>19</v>
      </c>
      <c r="D108" s="2" t="s">
        <v>247</v>
      </c>
      <c r="E108" s="2" t="s">
        <v>55</v>
      </c>
      <c r="F108" s="2" t="s">
        <v>55</v>
      </c>
      <c r="G108" s="2" t="s">
        <v>36</v>
      </c>
      <c r="H108" s="2" t="s">
        <v>132</v>
      </c>
      <c r="I108" s="2" t="s">
        <v>133</v>
      </c>
      <c r="J108" s="2" t="s">
        <v>226</v>
      </c>
      <c r="K108" t="b">
        <v>0</v>
      </c>
      <c r="L108" s="2" t="s">
        <v>130</v>
      </c>
    </row>
    <row r="109" spans="1:12" x14ac:dyDescent="0.3">
      <c r="A109" s="2" t="s">
        <v>8</v>
      </c>
      <c r="B109" s="2" t="s">
        <v>223</v>
      </c>
      <c r="C109">
        <v>20</v>
      </c>
      <c r="D109" s="2" t="s">
        <v>248</v>
      </c>
      <c r="E109" s="2" t="s">
        <v>14</v>
      </c>
      <c r="F109" s="2" t="s">
        <v>146</v>
      </c>
      <c r="G109" s="2" t="s">
        <v>36</v>
      </c>
      <c r="H109" s="2" t="s">
        <v>132</v>
      </c>
      <c r="I109" s="2" t="s">
        <v>133</v>
      </c>
      <c r="J109" s="2" t="s">
        <v>226</v>
      </c>
      <c r="K109" t="b">
        <v>1</v>
      </c>
      <c r="L109" s="2" t="s">
        <v>130</v>
      </c>
    </row>
    <row r="110" spans="1:12" x14ac:dyDescent="0.3">
      <c r="A110" s="2" t="s">
        <v>8</v>
      </c>
      <c r="B110" s="2" t="s">
        <v>223</v>
      </c>
      <c r="C110">
        <v>21</v>
      </c>
      <c r="D110" s="2" t="s">
        <v>249</v>
      </c>
      <c r="E110" s="2" t="s">
        <v>66</v>
      </c>
      <c r="F110" s="2" t="s">
        <v>66</v>
      </c>
      <c r="G110" s="2" t="s">
        <v>36</v>
      </c>
      <c r="H110" s="2" t="s">
        <v>132</v>
      </c>
      <c r="I110" s="2" t="s">
        <v>133</v>
      </c>
      <c r="J110" s="2" t="s">
        <v>226</v>
      </c>
      <c r="K110" t="b">
        <v>0</v>
      </c>
      <c r="L110" s="2" t="s">
        <v>130</v>
      </c>
    </row>
    <row r="111" spans="1:12" x14ac:dyDescent="0.3">
      <c r="A111" s="2" t="s">
        <v>8</v>
      </c>
      <c r="B111" s="2" t="s">
        <v>223</v>
      </c>
      <c r="C111">
        <v>22</v>
      </c>
      <c r="D111" s="2" t="s">
        <v>250</v>
      </c>
      <c r="E111" s="2" t="s">
        <v>25</v>
      </c>
      <c r="F111" s="2" t="s">
        <v>25</v>
      </c>
      <c r="G111" s="2" t="s">
        <v>36</v>
      </c>
      <c r="H111" s="2" t="s">
        <v>132</v>
      </c>
      <c r="I111" s="2" t="s">
        <v>133</v>
      </c>
      <c r="J111" s="2" t="s">
        <v>226</v>
      </c>
      <c r="K111" t="b">
        <v>0</v>
      </c>
      <c r="L111" s="2" t="s">
        <v>130</v>
      </c>
    </row>
    <row r="112" spans="1:12" x14ac:dyDescent="0.3">
      <c r="A112" s="2" t="s">
        <v>8</v>
      </c>
      <c r="B112" s="2" t="s">
        <v>223</v>
      </c>
      <c r="C112">
        <v>23</v>
      </c>
      <c r="D112" s="2" t="s">
        <v>251</v>
      </c>
      <c r="E112" s="2" t="s">
        <v>26</v>
      </c>
      <c r="F112" s="2" t="s">
        <v>26</v>
      </c>
      <c r="G112" s="2" t="s">
        <v>36</v>
      </c>
      <c r="H112" s="2" t="s">
        <v>132</v>
      </c>
      <c r="I112" s="2" t="s">
        <v>133</v>
      </c>
      <c r="J112" s="2" t="s">
        <v>226</v>
      </c>
      <c r="K112" t="b">
        <v>0</v>
      </c>
      <c r="L112" s="2" t="s">
        <v>130</v>
      </c>
    </row>
    <row r="113" spans="1:12" x14ac:dyDescent="0.3">
      <c r="A113" s="2" t="s">
        <v>8</v>
      </c>
      <c r="B113" s="2" t="s">
        <v>223</v>
      </c>
      <c r="C113">
        <v>24</v>
      </c>
      <c r="D113" s="2" t="s">
        <v>252</v>
      </c>
      <c r="E113" s="2" t="s">
        <v>27</v>
      </c>
      <c r="F113" s="2" t="s">
        <v>27</v>
      </c>
      <c r="G113" s="2" t="s">
        <v>36</v>
      </c>
      <c r="H113" s="2" t="s">
        <v>132</v>
      </c>
      <c r="I113" s="2" t="s">
        <v>133</v>
      </c>
      <c r="J113" s="2" t="s">
        <v>226</v>
      </c>
      <c r="K113" t="b">
        <v>0</v>
      </c>
      <c r="L113" s="2" t="s">
        <v>130</v>
      </c>
    </row>
    <row r="114" spans="1:12" x14ac:dyDescent="0.3">
      <c r="A114" s="2" t="s">
        <v>8</v>
      </c>
      <c r="B114" s="2" t="s">
        <v>223</v>
      </c>
      <c r="C114">
        <v>25</v>
      </c>
      <c r="D114" s="2" t="s">
        <v>253</v>
      </c>
      <c r="E114" s="2" t="s">
        <v>47</v>
      </c>
      <c r="F114" s="2" t="s">
        <v>47</v>
      </c>
      <c r="G114" s="2" t="s">
        <v>36</v>
      </c>
      <c r="H114" s="2" t="s">
        <v>132</v>
      </c>
      <c r="I114" s="2" t="s">
        <v>133</v>
      </c>
      <c r="J114" s="2" t="s">
        <v>226</v>
      </c>
      <c r="K114" t="b">
        <v>0</v>
      </c>
      <c r="L114" s="2" t="s">
        <v>130</v>
      </c>
    </row>
    <row r="115" spans="1:12" x14ac:dyDescent="0.3">
      <c r="A115" s="2" t="s">
        <v>8</v>
      </c>
      <c r="B115" s="2" t="s">
        <v>223</v>
      </c>
      <c r="C115">
        <v>26</v>
      </c>
      <c r="D115" s="2" t="s">
        <v>254</v>
      </c>
      <c r="E115" s="2" t="s">
        <v>24</v>
      </c>
      <c r="F115" s="2" t="s">
        <v>24</v>
      </c>
      <c r="G115" s="2" t="s">
        <v>36</v>
      </c>
      <c r="H115" s="2" t="s">
        <v>132</v>
      </c>
      <c r="I115" s="2" t="s">
        <v>133</v>
      </c>
      <c r="J115" s="2" t="s">
        <v>226</v>
      </c>
      <c r="K115" t="b">
        <v>0</v>
      </c>
      <c r="L115" s="2" t="s">
        <v>130</v>
      </c>
    </row>
    <row r="116" spans="1:12" x14ac:dyDescent="0.3">
      <c r="A116" s="2" t="s">
        <v>8</v>
      </c>
      <c r="B116" s="2" t="s">
        <v>223</v>
      </c>
      <c r="C116">
        <v>27</v>
      </c>
      <c r="D116" s="2" t="s">
        <v>255</v>
      </c>
      <c r="E116" s="2" t="s">
        <v>65</v>
      </c>
      <c r="F116" s="2" t="s">
        <v>65</v>
      </c>
      <c r="G116" s="2" t="s">
        <v>36</v>
      </c>
      <c r="H116" s="2" t="s">
        <v>132</v>
      </c>
      <c r="I116" s="2" t="s">
        <v>133</v>
      </c>
      <c r="J116" s="2" t="s">
        <v>226</v>
      </c>
      <c r="K116" t="b">
        <v>0</v>
      </c>
      <c r="L116" s="2" t="s">
        <v>130</v>
      </c>
    </row>
    <row r="117" spans="1:12" x14ac:dyDescent="0.3">
      <c r="A117" s="2" t="s">
        <v>8</v>
      </c>
      <c r="B117" s="2" t="s">
        <v>223</v>
      </c>
      <c r="C117">
        <v>28</v>
      </c>
      <c r="D117" s="2" t="s">
        <v>256</v>
      </c>
      <c r="E117" s="2" t="s">
        <v>63</v>
      </c>
      <c r="F117" s="2" t="s">
        <v>257</v>
      </c>
      <c r="G117" s="2" t="s">
        <v>36</v>
      </c>
      <c r="H117" s="2" t="s">
        <v>132</v>
      </c>
      <c r="I117" s="2" t="s">
        <v>133</v>
      </c>
      <c r="J117" s="2" t="s">
        <v>226</v>
      </c>
      <c r="K117" t="b">
        <v>1</v>
      </c>
      <c r="L117" s="2" t="s">
        <v>130</v>
      </c>
    </row>
    <row r="118" spans="1:12" x14ac:dyDescent="0.3">
      <c r="A118" s="2" t="s">
        <v>8</v>
      </c>
      <c r="B118" s="2" t="s">
        <v>223</v>
      </c>
      <c r="C118">
        <v>29</v>
      </c>
      <c r="D118" s="2" t="s">
        <v>258</v>
      </c>
      <c r="E118" s="2" t="s">
        <v>57</v>
      </c>
      <c r="F118" s="2" t="s">
        <v>57</v>
      </c>
      <c r="G118" s="2" t="s">
        <v>36</v>
      </c>
      <c r="H118" s="2" t="s">
        <v>132</v>
      </c>
      <c r="I118" s="2" t="s">
        <v>133</v>
      </c>
      <c r="J118" s="2" t="s">
        <v>226</v>
      </c>
      <c r="K118" t="b">
        <v>0</v>
      </c>
      <c r="L118" s="2" t="s">
        <v>130</v>
      </c>
    </row>
    <row r="119" spans="1:12" x14ac:dyDescent="0.3">
      <c r="A119" s="2" t="s">
        <v>8</v>
      </c>
      <c r="B119" s="2" t="s">
        <v>223</v>
      </c>
      <c r="C119">
        <v>30</v>
      </c>
      <c r="D119" s="2" t="s">
        <v>259</v>
      </c>
      <c r="E119" s="2" t="s">
        <v>64</v>
      </c>
      <c r="F119" s="2" t="s">
        <v>64</v>
      </c>
      <c r="G119" s="2" t="s">
        <v>36</v>
      </c>
      <c r="H119" s="2" t="s">
        <v>132</v>
      </c>
      <c r="I119" s="2" t="s">
        <v>133</v>
      </c>
      <c r="J119" s="2" t="s">
        <v>226</v>
      </c>
      <c r="K119" t="b">
        <v>0</v>
      </c>
      <c r="L119" s="2" t="s">
        <v>130</v>
      </c>
    </row>
    <row r="120" spans="1:12" x14ac:dyDescent="0.3">
      <c r="A120" s="2" t="s">
        <v>8</v>
      </c>
      <c r="B120" s="2" t="s">
        <v>223</v>
      </c>
      <c r="C120">
        <v>31</v>
      </c>
      <c r="D120" s="2" t="s">
        <v>260</v>
      </c>
      <c r="E120" s="2" t="s">
        <v>13</v>
      </c>
      <c r="F120" s="2" t="s">
        <v>13</v>
      </c>
      <c r="G120" s="2" t="s">
        <v>36</v>
      </c>
      <c r="H120" s="2" t="s">
        <v>132</v>
      </c>
      <c r="I120" s="2" t="s">
        <v>133</v>
      </c>
      <c r="J120" s="2" t="s">
        <v>226</v>
      </c>
      <c r="K120" t="b">
        <v>0</v>
      </c>
      <c r="L120" s="2" t="s">
        <v>130</v>
      </c>
    </row>
    <row r="121" spans="1:12" x14ac:dyDescent="0.3">
      <c r="A121" s="2" t="s">
        <v>8</v>
      </c>
      <c r="B121" s="2" t="s">
        <v>223</v>
      </c>
      <c r="C121">
        <v>32</v>
      </c>
      <c r="D121" s="2" t="s">
        <v>261</v>
      </c>
      <c r="E121" s="2" t="s">
        <v>13</v>
      </c>
      <c r="F121" s="2" t="s">
        <v>13</v>
      </c>
      <c r="G121" s="2" t="s">
        <v>36</v>
      </c>
      <c r="H121" s="2" t="s">
        <v>132</v>
      </c>
      <c r="I121" s="2" t="s">
        <v>133</v>
      </c>
      <c r="J121" s="2" t="s">
        <v>226</v>
      </c>
      <c r="K121" t="b">
        <v>0</v>
      </c>
      <c r="L121" s="2" t="s">
        <v>130</v>
      </c>
    </row>
    <row r="122" spans="1:12" x14ac:dyDescent="0.3">
      <c r="A122" s="2" t="s">
        <v>8</v>
      </c>
      <c r="B122" s="2" t="s">
        <v>223</v>
      </c>
      <c r="C122">
        <v>33</v>
      </c>
      <c r="D122" s="2" t="s">
        <v>262</v>
      </c>
      <c r="E122" s="2" t="s">
        <v>72</v>
      </c>
      <c r="F122" s="2" t="s">
        <v>72</v>
      </c>
      <c r="G122" s="2" t="s">
        <v>36</v>
      </c>
      <c r="H122" s="2" t="s">
        <v>132</v>
      </c>
      <c r="I122" s="2" t="s">
        <v>133</v>
      </c>
      <c r="J122" s="2" t="s">
        <v>226</v>
      </c>
      <c r="K122" t="b">
        <v>0</v>
      </c>
      <c r="L122" s="2" t="s">
        <v>130</v>
      </c>
    </row>
    <row r="123" spans="1:12" x14ac:dyDescent="0.3">
      <c r="A123" s="2" t="s">
        <v>8</v>
      </c>
      <c r="B123" s="2" t="s">
        <v>223</v>
      </c>
      <c r="C123">
        <v>34</v>
      </c>
      <c r="D123" s="2" t="s">
        <v>263</v>
      </c>
      <c r="E123" s="2" t="s">
        <v>16</v>
      </c>
      <c r="F123" s="2" t="s">
        <v>155</v>
      </c>
      <c r="G123" s="2" t="s">
        <v>36</v>
      </c>
      <c r="H123" s="2" t="s">
        <v>132</v>
      </c>
      <c r="I123" s="2" t="s">
        <v>133</v>
      </c>
      <c r="J123" s="2" t="s">
        <v>226</v>
      </c>
      <c r="K123" t="b">
        <v>1</v>
      </c>
      <c r="L123" s="2" t="s">
        <v>130</v>
      </c>
    </row>
    <row r="124" spans="1:12" x14ac:dyDescent="0.3">
      <c r="A124" s="2" t="s">
        <v>8</v>
      </c>
      <c r="B124" s="2" t="s">
        <v>223</v>
      </c>
      <c r="C124">
        <v>35</v>
      </c>
      <c r="D124" s="2" t="s">
        <v>264</v>
      </c>
      <c r="E124" s="2" t="s">
        <v>18</v>
      </c>
      <c r="F124" s="2" t="s">
        <v>18</v>
      </c>
      <c r="G124" s="2" t="s">
        <v>36</v>
      </c>
      <c r="H124" s="2" t="s">
        <v>132</v>
      </c>
      <c r="I124" s="2" t="s">
        <v>133</v>
      </c>
      <c r="J124" s="2" t="s">
        <v>226</v>
      </c>
      <c r="K124" t="b">
        <v>0</v>
      </c>
      <c r="L124" s="2" t="s">
        <v>130</v>
      </c>
    </row>
    <row r="125" spans="1:12" x14ac:dyDescent="0.3">
      <c r="A125" s="2" t="s">
        <v>8</v>
      </c>
      <c r="B125" s="2" t="s">
        <v>223</v>
      </c>
      <c r="C125">
        <v>36</v>
      </c>
      <c r="D125" s="2" t="s">
        <v>265</v>
      </c>
      <c r="E125" s="2" t="s">
        <v>77</v>
      </c>
      <c r="F125" s="2" t="s">
        <v>77</v>
      </c>
      <c r="G125" s="2" t="s">
        <v>36</v>
      </c>
      <c r="H125" s="2" t="s">
        <v>132</v>
      </c>
      <c r="I125" s="2" t="s">
        <v>133</v>
      </c>
      <c r="J125" s="2" t="s">
        <v>226</v>
      </c>
      <c r="K125" t="b">
        <v>0</v>
      </c>
      <c r="L125" s="2" t="s">
        <v>130</v>
      </c>
    </row>
    <row r="126" spans="1:12" x14ac:dyDescent="0.3">
      <c r="A126" s="2" t="s">
        <v>8</v>
      </c>
      <c r="B126" s="2" t="s">
        <v>223</v>
      </c>
      <c r="C126">
        <v>37</v>
      </c>
      <c r="D126" s="2" t="s">
        <v>266</v>
      </c>
      <c r="E126" s="2" t="s">
        <v>119</v>
      </c>
      <c r="F126" s="2" t="s">
        <v>119</v>
      </c>
      <c r="G126" s="2" t="s">
        <v>38</v>
      </c>
      <c r="H126" s="2" t="s">
        <v>158</v>
      </c>
      <c r="I126" s="2" t="s">
        <v>133</v>
      </c>
      <c r="J126" s="2" t="s">
        <v>226</v>
      </c>
      <c r="K126" t="b">
        <v>0</v>
      </c>
      <c r="L126" s="2" t="s">
        <v>130</v>
      </c>
    </row>
    <row r="127" spans="1:12" x14ac:dyDescent="0.3">
      <c r="A127" s="2" t="s">
        <v>8</v>
      </c>
      <c r="B127" s="2" t="s">
        <v>223</v>
      </c>
      <c r="C127">
        <v>38</v>
      </c>
      <c r="D127" s="2" t="s">
        <v>267</v>
      </c>
      <c r="E127" s="2" t="s">
        <v>49</v>
      </c>
      <c r="F127" s="2" t="s">
        <v>49</v>
      </c>
      <c r="G127" s="2" t="s">
        <v>38</v>
      </c>
      <c r="H127" s="2" t="s">
        <v>158</v>
      </c>
      <c r="I127" s="2" t="s">
        <v>133</v>
      </c>
      <c r="J127" s="2" t="s">
        <v>226</v>
      </c>
      <c r="K127" t="b">
        <v>0</v>
      </c>
      <c r="L127" s="2" t="s">
        <v>130</v>
      </c>
    </row>
    <row r="128" spans="1:12" x14ac:dyDescent="0.3">
      <c r="A128" s="2" t="s">
        <v>8</v>
      </c>
      <c r="B128" s="2" t="s">
        <v>223</v>
      </c>
      <c r="C128">
        <v>39</v>
      </c>
      <c r="D128" s="2" t="s">
        <v>268</v>
      </c>
      <c r="E128" s="2" t="s">
        <v>37</v>
      </c>
      <c r="F128" s="2" t="s">
        <v>37</v>
      </c>
      <c r="G128" s="2" t="s">
        <v>38</v>
      </c>
      <c r="H128" s="2" t="s">
        <v>158</v>
      </c>
      <c r="I128" s="2" t="s">
        <v>133</v>
      </c>
      <c r="J128" s="2" t="s">
        <v>226</v>
      </c>
      <c r="K128" t="b">
        <v>0</v>
      </c>
      <c r="L128" s="2" t="s">
        <v>130</v>
      </c>
    </row>
    <row r="129" spans="1:12" x14ac:dyDescent="0.3">
      <c r="A129" s="2" t="s">
        <v>8</v>
      </c>
      <c r="B129" s="2" t="s">
        <v>223</v>
      </c>
      <c r="C129">
        <v>40</v>
      </c>
      <c r="D129" s="2" t="s">
        <v>269</v>
      </c>
      <c r="E129" s="2" t="s">
        <v>40</v>
      </c>
      <c r="F129" s="2" t="s">
        <v>40</v>
      </c>
      <c r="G129" s="2" t="s">
        <v>38</v>
      </c>
      <c r="H129" s="2" t="s">
        <v>158</v>
      </c>
      <c r="I129" s="2" t="s">
        <v>133</v>
      </c>
      <c r="J129" s="2" t="s">
        <v>226</v>
      </c>
      <c r="K129" t="b">
        <v>0</v>
      </c>
      <c r="L129" s="2" t="s">
        <v>130</v>
      </c>
    </row>
    <row r="130" spans="1:12" x14ac:dyDescent="0.3">
      <c r="A130" s="2" t="s">
        <v>8</v>
      </c>
      <c r="B130" s="2" t="s">
        <v>223</v>
      </c>
      <c r="C130">
        <v>41</v>
      </c>
      <c r="D130" s="2" t="s">
        <v>270</v>
      </c>
      <c r="E130" s="2" t="s">
        <v>41</v>
      </c>
      <c r="F130" s="2" t="s">
        <v>41</v>
      </c>
      <c r="G130" s="2" t="s">
        <v>38</v>
      </c>
      <c r="H130" s="2" t="s">
        <v>158</v>
      </c>
      <c r="I130" s="2" t="s">
        <v>133</v>
      </c>
      <c r="J130" s="2" t="s">
        <v>226</v>
      </c>
      <c r="K130" t="b">
        <v>0</v>
      </c>
      <c r="L130" s="2" t="s">
        <v>130</v>
      </c>
    </row>
    <row r="131" spans="1:12" x14ac:dyDescent="0.3">
      <c r="A131" s="2" t="s">
        <v>8</v>
      </c>
      <c r="B131" s="2" t="s">
        <v>223</v>
      </c>
      <c r="C131">
        <v>42</v>
      </c>
      <c r="D131" s="2" t="s">
        <v>271</v>
      </c>
      <c r="E131" s="2" t="s">
        <v>120</v>
      </c>
      <c r="F131" s="2" t="s">
        <v>120</v>
      </c>
      <c r="G131" s="2" t="s">
        <v>38</v>
      </c>
      <c r="H131" s="2" t="s">
        <v>158</v>
      </c>
      <c r="I131" s="2" t="s">
        <v>133</v>
      </c>
      <c r="J131" s="2" t="s">
        <v>226</v>
      </c>
      <c r="K131" t="b">
        <v>0</v>
      </c>
      <c r="L131" s="2" t="s">
        <v>130</v>
      </c>
    </row>
    <row r="132" spans="1:12" x14ac:dyDescent="0.3">
      <c r="A132" s="2" t="s">
        <v>8</v>
      </c>
      <c r="B132" s="2" t="s">
        <v>223</v>
      </c>
      <c r="C132">
        <v>43</v>
      </c>
      <c r="D132" s="2" t="s">
        <v>272</v>
      </c>
      <c r="E132" s="2" t="s">
        <v>39</v>
      </c>
      <c r="F132" s="2" t="s">
        <v>39</v>
      </c>
      <c r="G132" s="2" t="s">
        <v>38</v>
      </c>
      <c r="H132" s="2" t="s">
        <v>158</v>
      </c>
      <c r="I132" s="2" t="s">
        <v>133</v>
      </c>
      <c r="J132" s="2" t="s">
        <v>226</v>
      </c>
      <c r="K132" t="b">
        <v>0</v>
      </c>
      <c r="L132" s="2" t="s">
        <v>130</v>
      </c>
    </row>
    <row r="133" spans="1:12" x14ac:dyDescent="0.3">
      <c r="A133" s="2" t="s">
        <v>8</v>
      </c>
      <c r="B133" s="2" t="s">
        <v>223</v>
      </c>
      <c r="C133">
        <v>44</v>
      </c>
      <c r="D133" s="2" t="s">
        <v>273</v>
      </c>
      <c r="E133" s="2" t="s">
        <v>123</v>
      </c>
      <c r="F133" s="2" t="s">
        <v>123</v>
      </c>
      <c r="G133" s="2" t="s">
        <v>118</v>
      </c>
      <c r="H133" s="2" t="s">
        <v>274</v>
      </c>
      <c r="I133" s="2" t="s">
        <v>133</v>
      </c>
      <c r="J133" s="2" t="s">
        <v>226</v>
      </c>
      <c r="K133" t="b">
        <v>0</v>
      </c>
      <c r="L133" s="2" t="s">
        <v>130</v>
      </c>
    </row>
    <row r="134" spans="1:12" x14ac:dyDescent="0.3">
      <c r="A134" s="2" t="s">
        <v>8</v>
      </c>
      <c r="B134" s="2" t="s">
        <v>223</v>
      </c>
      <c r="C134">
        <v>45</v>
      </c>
      <c r="D134" s="2" t="s">
        <v>275</v>
      </c>
      <c r="E134" s="2" t="s">
        <v>115</v>
      </c>
      <c r="F134" s="2" t="s">
        <v>115</v>
      </c>
      <c r="G134" s="2" t="s">
        <v>118</v>
      </c>
      <c r="H134" s="2" t="s">
        <v>274</v>
      </c>
      <c r="I134" s="2" t="s">
        <v>133</v>
      </c>
      <c r="J134" s="2" t="s">
        <v>226</v>
      </c>
      <c r="K134" t="b">
        <v>0</v>
      </c>
      <c r="L134" s="2" t="s">
        <v>130</v>
      </c>
    </row>
    <row r="135" spans="1:12" x14ac:dyDescent="0.3">
      <c r="A135" s="2" t="s">
        <v>8</v>
      </c>
      <c r="B135" s="2" t="s">
        <v>223</v>
      </c>
      <c r="C135">
        <v>46</v>
      </c>
      <c r="D135" s="2" t="s">
        <v>276</v>
      </c>
      <c r="E135" s="2" t="s">
        <v>116</v>
      </c>
      <c r="F135" s="2" t="s">
        <v>116</v>
      </c>
      <c r="G135" s="2" t="s">
        <v>118</v>
      </c>
      <c r="H135" s="2" t="s">
        <v>274</v>
      </c>
      <c r="I135" s="2" t="s">
        <v>133</v>
      </c>
      <c r="J135" s="2" t="s">
        <v>226</v>
      </c>
      <c r="K135" t="b">
        <v>0</v>
      </c>
      <c r="L135" s="2" t="s">
        <v>130</v>
      </c>
    </row>
    <row r="136" spans="1:12" x14ac:dyDescent="0.3">
      <c r="A136" s="2" t="s">
        <v>8</v>
      </c>
      <c r="B136" s="2" t="s">
        <v>223</v>
      </c>
      <c r="C136">
        <v>47</v>
      </c>
      <c r="D136" s="2" t="s">
        <v>277</v>
      </c>
      <c r="E136" s="2" t="s">
        <v>117</v>
      </c>
      <c r="F136" s="2" t="s">
        <v>117</v>
      </c>
      <c r="G136" s="2" t="s">
        <v>118</v>
      </c>
      <c r="H136" s="2" t="s">
        <v>274</v>
      </c>
      <c r="I136" s="2" t="s">
        <v>133</v>
      </c>
      <c r="J136" s="2" t="s">
        <v>226</v>
      </c>
      <c r="K136" t="b">
        <v>0</v>
      </c>
      <c r="L136" s="2" t="s">
        <v>130</v>
      </c>
    </row>
    <row r="137" spans="1:12" x14ac:dyDescent="0.3">
      <c r="A137" s="2" t="s">
        <v>8</v>
      </c>
      <c r="B137" s="2" t="s">
        <v>223</v>
      </c>
      <c r="C137">
        <v>48</v>
      </c>
      <c r="D137" s="2" t="s">
        <v>278</v>
      </c>
      <c r="E137" s="2" t="s">
        <v>81</v>
      </c>
      <c r="F137" s="2" t="s">
        <v>81</v>
      </c>
      <c r="G137" s="2" t="s">
        <v>85</v>
      </c>
      <c r="H137" s="2" t="s">
        <v>279</v>
      </c>
      <c r="I137" s="2" t="s">
        <v>133</v>
      </c>
      <c r="J137" s="2" t="s">
        <v>226</v>
      </c>
      <c r="K137" t="b">
        <v>0</v>
      </c>
      <c r="L137" s="2" t="s">
        <v>130</v>
      </c>
    </row>
    <row r="138" spans="1:12" x14ac:dyDescent="0.3">
      <c r="A138" s="2" t="s">
        <v>8</v>
      </c>
      <c r="B138" s="2" t="s">
        <v>223</v>
      </c>
      <c r="C138">
        <v>49</v>
      </c>
      <c r="D138" s="2" t="s">
        <v>280</v>
      </c>
      <c r="E138" s="2" t="s">
        <v>68</v>
      </c>
      <c r="F138" s="2" t="s">
        <v>68</v>
      </c>
      <c r="G138" s="2" t="s">
        <v>85</v>
      </c>
      <c r="H138" s="2" t="s">
        <v>279</v>
      </c>
      <c r="I138" s="2" t="s">
        <v>133</v>
      </c>
      <c r="J138" s="2" t="s">
        <v>226</v>
      </c>
      <c r="K138" t="b">
        <v>0</v>
      </c>
      <c r="L138" s="2" t="s">
        <v>130</v>
      </c>
    </row>
    <row r="139" spans="1:12" x14ac:dyDescent="0.3">
      <c r="A139" s="2" t="s">
        <v>8</v>
      </c>
      <c r="B139" s="2" t="s">
        <v>223</v>
      </c>
      <c r="C139">
        <v>50</v>
      </c>
      <c r="D139" s="2" t="s">
        <v>281</v>
      </c>
      <c r="E139" s="2" t="s">
        <v>82</v>
      </c>
      <c r="F139" s="2" t="s">
        <v>82</v>
      </c>
      <c r="G139" s="2" t="s">
        <v>85</v>
      </c>
      <c r="H139" s="2" t="s">
        <v>279</v>
      </c>
      <c r="I139" s="2" t="s">
        <v>133</v>
      </c>
      <c r="J139" s="2" t="s">
        <v>226</v>
      </c>
      <c r="K139" t="b">
        <v>0</v>
      </c>
      <c r="L139" s="2" t="s">
        <v>130</v>
      </c>
    </row>
    <row r="140" spans="1:12" x14ac:dyDescent="0.3">
      <c r="A140" s="2" t="s">
        <v>8</v>
      </c>
      <c r="B140" s="2" t="s">
        <v>223</v>
      </c>
      <c r="C140">
        <v>51</v>
      </c>
      <c r="D140" s="2" t="s">
        <v>282</v>
      </c>
      <c r="E140" s="2" t="s">
        <v>67</v>
      </c>
      <c r="F140" s="2" t="s">
        <v>67</v>
      </c>
      <c r="G140" s="2" t="s">
        <v>85</v>
      </c>
      <c r="H140" s="2" t="s">
        <v>279</v>
      </c>
      <c r="I140" s="2" t="s">
        <v>133</v>
      </c>
      <c r="J140" s="2" t="s">
        <v>226</v>
      </c>
      <c r="K140" t="b">
        <v>0</v>
      </c>
      <c r="L140" s="2" t="s">
        <v>130</v>
      </c>
    </row>
    <row r="141" spans="1:12" x14ac:dyDescent="0.3">
      <c r="A141" s="2" t="s">
        <v>8</v>
      </c>
      <c r="B141" s="2" t="s">
        <v>223</v>
      </c>
      <c r="C141">
        <v>52</v>
      </c>
      <c r="D141" s="2" t="s">
        <v>283</v>
      </c>
      <c r="E141" s="2" t="s">
        <v>83</v>
      </c>
      <c r="F141" s="2" t="s">
        <v>83</v>
      </c>
      <c r="G141" s="2" t="s">
        <v>85</v>
      </c>
      <c r="H141" s="2" t="s">
        <v>279</v>
      </c>
      <c r="I141" s="2" t="s">
        <v>133</v>
      </c>
      <c r="J141" s="2" t="s">
        <v>226</v>
      </c>
      <c r="K141" t="b">
        <v>0</v>
      </c>
      <c r="L141" s="2" t="s">
        <v>130</v>
      </c>
    </row>
    <row r="142" spans="1:12" x14ac:dyDescent="0.3">
      <c r="A142" s="2" t="s">
        <v>8</v>
      </c>
      <c r="B142" s="2" t="s">
        <v>223</v>
      </c>
      <c r="C142">
        <v>53</v>
      </c>
      <c r="D142" s="2" t="s">
        <v>284</v>
      </c>
      <c r="E142" s="2" t="s">
        <v>64</v>
      </c>
      <c r="F142" s="2" t="s">
        <v>64</v>
      </c>
      <c r="G142" s="2" t="s">
        <v>85</v>
      </c>
      <c r="H142" s="2" t="s">
        <v>279</v>
      </c>
      <c r="I142" s="2" t="s">
        <v>133</v>
      </c>
      <c r="J142" s="2" t="s">
        <v>226</v>
      </c>
      <c r="K142" t="b">
        <v>0</v>
      </c>
      <c r="L142" s="2" t="s">
        <v>130</v>
      </c>
    </row>
    <row r="143" spans="1:12" x14ac:dyDescent="0.3">
      <c r="A143" s="2" t="s">
        <v>8</v>
      </c>
      <c r="B143" s="2" t="s">
        <v>223</v>
      </c>
      <c r="C143">
        <v>54</v>
      </c>
      <c r="D143" s="2" t="s">
        <v>285</v>
      </c>
      <c r="E143" s="2" t="s">
        <v>54</v>
      </c>
      <c r="F143" s="2" t="s">
        <v>54</v>
      </c>
      <c r="G143" s="2" t="s">
        <v>85</v>
      </c>
      <c r="H143" s="2" t="s">
        <v>279</v>
      </c>
      <c r="I143" s="2" t="s">
        <v>133</v>
      </c>
      <c r="J143" s="2" t="s">
        <v>226</v>
      </c>
      <c r="K143" t="b">
        <v>0</v>
      </c>
      <c r="L143" s="2" t="s">
        <v>130</v>
      </c>
    </row>
    <row r="144" spans="1:12" x14ac:dyDescent="0.3">
      <c r="A144" s="2" t="s">
        <v>8</v>
      </c>
      <c r="B144" s="2" t="s">
        <v>223</v>
      </c>
      <c r="C144">
        <v>55</v>
      </c>
      <c r="D144" s="2" t="s">
        <v>286</v>
      </c>
      <c r="E144" s="2" t="s">
        <v>84</v>
      </c>
      <c r="F144" s="2" t="s">
        <v>84</v>
      </c>
      <c r="G144" s="2" t="s">
        <v>85</v>
      </c>
      <c r="H144" s="2" t="s">
        <v>279</v>
      </c>
      <c r="I144" s="2" t="s">
        <v>133</v>
      </c>
      <c r="J144" s="2" t="s">
        <v>226</v>
      </c>
      <c r="K144" t="b">
        <v>0</v>
      </c>
      <c r="L144" s="2" t="s">
        <v>130</v>
      </c>
    </row>
    <row r="145" spans="1:12" x14ac:dyDescent="0.3">
      <c r="A145" s="2" t="s">
        <v>8</v>
      </c>
      <c r="B145" s="2" t="s">
        <v>223</v>
      </c>
      <c r="C145">
        <v>56</v>
      </c>
      <c r="D145" s="2" t="s">
        <v>287</v>
      </c>
      <c r="E145" s="2" t="s">
        <v>69</v>
      </c>
      <c r="F145" s="2" t="s">
        <v>69</v>
      </c>
      <c r="G145" s="2" t="s">
        <v>85</v>
      </c>
      <c r="H145" s="2" t="s">
        <v>279</v>
      </c>
      <c r="I145" s="2" t="s">
        <v>133</v>
      </c>
      <c r="J145" s="2" t="s">
        <v>226</v>
      </c>
      <c r="K145" t="b">
        <v>0</v>
      </c>
      <c r="L145" s="2" t="s">
        <v>130</v>
      </c>
    </row>
    <row r="146" spans="1:12" x14ac:dyDescent="0.3">
      <c r="A146" s="2" t="s">
        <v>8</v>
      </c>
      <c r="B146" s="2" t="s">
        <v>223</v>
      </c>
      <c r="C146">
        <v>57</v>
      </c>
      <c r="D146" s="2" t="s">
        <v>288</v>
      </c>
      <c r="E146" s="2" t="s">
        <v>94</v>
      </c>
      <c r="F146" s="2" t="s">
        <v>94</v>
      </c>
      <c r="G146" s="2" t="s">
        <v>108</v>
      </c>
      <c r="H146" s="2" t="s">
        <v>289</v>
      </c>
      <c r="I146" s="2" t="s">
        <v>133</v>
      </c>
      <c r="J146" s="2" t="s">
        <v>226</v>
      </c>
      <c r="K146" t="b">
        <v>0</v>
      </c>
      <c r="L146" s="2" t="s">
        <v>130</v>
      </c>
    </row>
    <row r="147" spans="1:12" x14ac:dyDescent="0.3">
      <c r="A147" s="2" t="s">
        <v>8</v>
      </c>
      <c r="B147" s="2" t="s">
        <v>223</v>
      </c>
      <c r="C147">
        <v>58</v>
      </c>
      <c r="D147" s="2" t="s">
        <v>290</v>
      </c>
      <c r="E147" s="2" t="s">
        <v>95</v>
      </c>
      <c r="F147" s="2" t="s">
        <v>95</v>
      </c>
      <c r="G147" s="2" t="s">
        <v>108</v>
      </c>
      <c r="H147" s="2" t="s">
        <v>289</v>
      </c>
      <c r="I147" s="2" t="s">
        <v>133</v>
      </c>
      <c r="J147" s="2" t="s">
        <v>226</v>
      </c>
      <c r="K147" t="b">
        <v>0</v>
      </c>
      <c r="L147" s="2" t="s">
        <v>130</v>
      </c>
    </row>
    <row r="148" spans="1:12" x14ac:dyDescent="0.3">
      <c r="A148" s="2" t="s">
        <v>8</v>
      </c>
      <c r="B148" s="2" t="s">
        <v>223</v>
      </c>
      <c r="C148">
        <v>59</v>
      </c>
      <c r="D148" s="2" t="s">
        <v>291</v>
      </c>
      <c r="E148" s="2" t="s">
        <v>96</v>
      </c>
      <c r="F148" s="2" t="s">
        <v>96</v>
      </c>
      <c r="G148" s="2" t="s">
        <v>108</v>
      </c>
      <c r="H148" s="2" t="s">
        <v>289</v>
      </c>
      <c r="I148" s="2" t="s">
        <v>133</v>
      </c>
      <c r="J148" s="2" t="s">
        <v>226</v>
      </c>
      <c r="K148" t="b">
        <v>0</v>
      </c>
      <c r="L148" s="2" t="s">
        <v>130</v>
      </c>
    </row>
    <row r="149" spans="1:12" x14ac:dyDescent="0.3">
      <c r="A149" s="2" t="s">
        <v>8</v>
      </c>
      <c r="B149" s="2" t="s">
        <v>223</v>
      </c>
      <c r="C149">
        <v>60</v>
      </c>
      <c r="D149" s="2" t="s">
        <v>292</v>
      </c>
      <c r="E149" s="2" t="s">
        <v>86</v>
      </c>
      <c r="F149" s="2" t="s">
        <v>86</v>
      </c>
      <c r="G149" s="2" t="s">
        <v>108</v>
      </c>
      <c r="H149" s="2" t="s">
        <v>289</v>
      </c>
      <c r="I149" s="2" t="s">
        <v>133</v>
      </c>
      <c r="J149" s="2" t="s">
        <v>226</v>
      </c>
      <c r="K149" t="b">
        <v>0</v>
      </c>
      <c r="L149" s="2" t="s">
        <v>130</v>
      </c>
    </row>
    <row r="150" spans="1:12" x14ac:dyDescent="0.3">
      <c r="A150" s="2" t="s">
        <v>8</v>
      </c>
      <c r="B150" s="2" t="s">
        <v>223</v>
      </c>
      <c r="C150">
        <v>61</v>
      </c>
      <c r="D150" s="2" t="s">
        <v>293</v>
      </c>
      <c r="E150" s="2" t="s">
        <v>87</v>
      </c>
      <c r="F150" s="2" t="s">
        <v>87</v>
      </c>
      <c r="G150" s="2" t="s">
        <v>108</v>
      </c>
      <c r="H150" s="2" t="s">
        <v>289</v>
      </c>
      <c r="I150" s="2" t="s">
        <v>133</v>
      </c>
      <c r="J150" s="2" t="s">
        <v>226</v>
      </c>
      <c r="K150" t="b">
        <v>0</v>
      </c>
      <c r="L150" s="2" t="s">
        <v>130</v>
      </c>
    </row>
    <row r="151" spans="1:12" x14ac:dyDescent="0.3">
      <c r="A151" s="2" t="s">
        <v>8</v>
      </c>
      <c r="B151" s="2" t="s">
        <v>223</v>
      </c>
      <c r="C151">
        <v>62</v>
      </c>
      <c r="D151" s="2" t="s">
        <v>294</v>
      </c>
      <c r="E151" s="2" t="s">
        <v>97</v>
      </c>
      <c r="F151" s="2" t="s">
        <v>97</v>
      </c>
      <c r="G151" s="2" t="s">
        <v>108</v>
      </c>
      <c r="H151" s="2" t="s">
        <v>289</v>
      </c>
      <c r="I151" s="2" t="s">
        <v>133</v>
      </c>
      <c r="J151" s="2" t="s">
        <v>226</v>
      </c>
      <c r="K151" t="b">
        <v>0</v>
      </c>
      <c r="L151" s="2" t="s">
        <v>130</v>
      </c>
    </row>
    <row r="152" spans="1:12" x14ac:dyDescent="0.3">
      <c r="A152" s="2" t="s">
        <v>8</v>
      </c>
      <c r="B152" s="2" t="s">
        <v>223</v>
      </c>
      <c r="C152">
        <v>63</v>
      </c>
      <c r="D152" s="2" t="s">
        <v>295</v>
      </c>
      <c r="E152" s="2" t="s">
        <v>98</v>
      </c>
      <c r="F152" s="2" t="s">
        <v>98</v>
      </c>
      <c r="G152" s="2" t="s">
        <v>108</v>
      </c>
      <c r="H152" s="2" t="s">
        <v>289</v>
      </c>
      <c r="I152" s="2" t="s">
        <v>133</v>
      </c>
      <c r="J152" s="2" t="s">
        <v>226</v>
      </c>
      <c r="K152" t="b">
        <v>0</v>
      </c>
      <c r="L152" s="2" t="s">
        <v>130</v>
      </c>
    </row>
    <row r="153" spans="1:12" x14ac:dyDescent="0.3">
      <c r="A153" s="2" t="s">
        <v>8</v>
      </c>
      <c r="B153" s="2" t="s">
        <v>223</v>
      </c>
      <c r="C153">
        <v>64</v>
      </c>
      <c r="D153" s="2" t="s">
        <v>296</v>
      </c>
      <c r="E153" s="2" t="s">
        <v>88</v>
      </c>
      <c r="F153" s="2" t="s">
        <v>88</v>
      </c>
      <c r="G153" s="2" t="s">
        <v>108</v>
      </c>
      <c r="H153" s="2" t="s">
        <v>289</v>
      </c>
      <c r="I153" s="2" t="s">
        <v>133</v>
      </c>
      <c r="J153" s="2" t="s">
        <v>226</v>
      </c>
      <c r="K153" t="b">
        <v>0</v>
      </c>
      <c r="L153" s="2" t="s">
        <v>130</v>
      </c>
    </row>
    <row r="154" spans="1:12" x14ac:dyDescent="0.3">
      <c r="A154" s="2" t="s">
        <v>8</v>
      </c>
      <c r="B154" s="2" t="s">
        <v>223</v>
      </c>
      <c r="C154">
        <v>65</v>
      </c>
      <c r="D154" s="2" t="s">
        <v>297</v>
      </c>
      <c r="E154" s="2" t="s">
        <v>89</v>
      </c>
      <c r="F154" s="2" t="s">
        <v>89</v>
      </c>
      <c r="G154" s="2" t="s">
        <v>108</v>
      </c>
      <c r="H154" s="2" t="s">
        <v>289</v>
      </c>
      <c r="I154" s="2" t="s">
        <v>133</v>
      </c>
      <c r="J154" s="2" t="s">
        <v>226</v>
      </c>
      <c r="K154" t="b">
        <v>0</v>
      </c>
      <c r="L154" s="2" t="s">
        <v>130</v>
      </c>
    </row>
    <row r="155" spans="1:12" x14ac:dyDescent="0.3">
      <c r="A155" s="2" t="s">
        <v>8</v>
      </c>
      <c r="B155" s="2" t="s">
        <v>223</v>
      </c>
      <c r="C155">
        <v>66</v>
      </c>
      <c r="D155" s="2" t="s">
        <v>298</v>
      </c>
      <c r="E155" s="2" t="s">
        <v>89</v>
      </c>
      <c r="F155" s="2" t="s">
        <v>89</v>
      </c>
      <c r="G155" s="2" t="s">
        <v>108</v>
      </c>
      <c r="H155" s="2" t="s">
        <v>289</v>
      </c>
      <c r="I155" s="2" t="s">
        <v>133</v>
      </c>
      <c r="J155" s="2" t="s">
        <v>226</v>
      </c>
      <c r="K155" t="b">
        <v>0</v>
      </c>
      <c r="L155" s="2" t="s">
        <v>130</v>
      </c>
    </row>
    <row r="156" spans="1:12" x14ac:dyDescent="0.3">
      <c r="A156" s="2" t="s">
        <v>8</v>
      </c>
      <c r="B156" s="2" t="s">
        <v>223</v>
      </c>
      <c r="C156">
        <v>67</v>
      </c>
      <c r="D156" s="2" t="s">
        <v>299</v>
      </c>
      <c r="E156" s="2" t="s">
        <v>100</v>
      </c>
      <c r="F156" s="2" t="s">
        <v>100</v>
      </c>
      <c r="G156" s="2" t="s">
        <v>108</v>
      </c>
      <c r="H156" s="2" t="s">
        <v>289</v>
      </c>
      <c r="I156" s="2" t="s">
        <v>133</v>
      </c>
      <c r="J156" s="2" t="s">
        <v>226</v>
      </c>
      <c r="K156" t="b">
        <v>0</v>
      </c>
      <c r="L156" s="2" t="s">
        <v>130</v>
      </c>
    </row>
    <row r="157" spans="1:12" x14ac:dyDescent="0.3">
      <c r="A157" s="2" t="s">
        <v>8</v>
      </c>
      <c r="B157" s="2" t="s">
        <v>223</v>
      </c>
      <c r="C157">
        <v>68</v>
      </c>
      <c r="D157" s="2" t="s">
        <v>300</v>
      </c>
      <c r="E157" s="2" t="s">
        <v>99</v>
      </c>
      <c r="F157" s="2" t="s">
        <v>99</v>
      </c>
      <c r="G157" s="2" t="s">
        <v>108</v>
      </c>
      <c r="H157" s="2" t="s">
        <v>289</v>
      </c>
      <c r="I157" s="2" t="s">
        <v>133</v>
      </c>
      <c r="J157" s="2" t="s">
        <v>226</v>
      </c>
      <c r="K157" t="b">
        <v>0</v>
      </c>
      <c r="L157" s="2" t="s">
        <v>130</v>
      </c>
    </row>
    <row r="158" spans="1:12" x14ac:dyDescent="0.3">
      <c r="A158" s="2" t="s">
        <v>8</v>
      </c>
      <c r="B158" s="2" t="s">
        <v>223</v>
      </c>
      <c r="C158">
        <v>69</v>
      </c>
      <c r="D158" s="2" t="s">
        <v>301</v>
      </c>
      <c r="E158" s="2" t="s">
        <v>90</v>
      </c>
      <c r="F158" s="2" t="s">
        <v>90</v>
      </c>
      <c r="G158" s="2" t="s">
        <v>108</v>
      </c>
      <c r="H158" s="2" t="s">
        <v>289</v>
      </c>
      <c r="I158" s="2" t="s">
        <v>133</v>
      </c>
      <c r="J158" s="2" t="s">
        <v>226</v>
      </c>
      <c r="K158" t="b">
        <v>0</v>
      </c>
      <c r="L158" s="2" t="s">
        <v>130</v>
      </c>
    </row>
    <row r="159" spans="1:12" x14ac:dyDescent="0.3">
      <c r="A159" s="2" t="s">
        <v>8</v>
      </c>
      <c r="B159" s="2" t="s">
        <v>223</v>
      </c>
      <c r="C159">
        <v>70</v>
      </c>
      <c r="D159" s="2" t="s">
        <v>302</v>
      </c>
      <c r="E159" s="2" t="s">
        <v>101</v>
      </c>
      <c r="F159" s="2" t="s">
        <v>101</v>
      </c>
      <c r="G159" s="2" t="s">
        <v>108</v>
      </c>
      <c r="H159" s="2" t="s">
        <v>289</v>
      </c>
      <c r="I159" s="2" t="s">
        <v>133</v>
      </c>
      <c r="J159" s="2" t="s">
        <v>226</v>
      </c>
      <c r="K159" t="b">
        <v>0</v>
      </c>
      <c r="L159" s="2" t="s">
        <v>130</v>
      </c>
    </row>
    <row r="160" spans="1:12" x14ac:dyDescent="0.3">
      <c r="A160" s="2" t="s">
        <v>8</v>
      </c>
      <c r="B160" s="2" t="s">
        <v>223</v>
      </c>
      <c r="C160">
        <v>71</v>
      </c>
      <c r="D160" s="2" t="s">
        <v>303</v>
      </c>
      <c r="E160" s="2" t="s">
        <v>102</v>
      </c>
      <c r="F160" s="2" t="s">
        <v>102</v>
      </c>
      <c r="G160" s="2" t="s">
        <v>108</v>
      </c>
      <c r="H160" s="2" t="s">
        <v>289</v>
      </c>
      <c r="I160" s="2" t="s">
        <v>133</v>
      </c>
      <c r="J160" s="2" t="s">
        <v>226</v>
      </c>
      <c r="K160" t="b">
        <v>0</v>
      </c>
      <c r="L160" s="2" t="s">
        <v>130</v>
      </c>
    </row>
    <row r="161" spans="1:12" x14ac:dyDescent="0.3">
      <c r="A161" s="2" t="s">
        <v>8</v>
      </c>
      <c r="B161" s="2" t="s">
        <v>223</v>
      </c>
      <c r="C161">
        <v>72</v>
      </c>
      <c r="D161" s="2" t="s">
        <v>304</v>
      </c>
      <c r="E161" s="2" t="s">
        <v>103</v>
      </c>
      <c r="F161" s="2" t="s">
        <v>103</v>
      </c>
      <c r="G161" s="2" t="s">
        <v>108</v>
      </c>
      <c r="H161" s="2" t="s">
        <v>289</v>
      </c>
      <c r="I161" s="2" t="s">
        <v>133</v>
      </c>
      <c r="J161" s="2" t="s">
        <v>226</v>
      </c>
      <c r="K161" t="b">
        <v>0</v>
      </c>
      <c r="L161" s="2" t="s">
        <v>130</v>
      </c>
    </row>
    <row r="162" spans="1:12" x14ac:dyDescent="0.3">
      <c r="A162" s="2" t="s">
        <v>8</v>
      </c>
      <c r="B162" s="2" t="s">
        <v>223</v>
      </c>
      <c r="C162">
        <v>73</v>
      </c>
      <c r="D162" s="2" t="s">
        <v>305</v>
      </c>
      <c r="E162" s="2" t="s">
        <v>104</v>
      </c>
      <c r="F162" s="2" t="s">
        <v>104</v>
      </c>
      <c r="G162" s="2" t="s">
        <v>108</v>
      </c>
      <c r="H162" s="2" t="s">
        <v>289</v>
      </c>
      <c r="I162" s="2" t="s">
        <v>133</v>
      </c>
      <c r="J162" s="2" t="s">
        <v>226</v>
      </c>
      <c r="K162" t="b">
        <v>0</v>
      </c>
      <c r="L162" s="2" t="s">
        <v>130</v>
      </c>
    </row>
    <row r="163" spans="1:12" x14ac:dyDescent="0.3">
      <c r="A163" s="2" t="s">
        <v>8</v>
      </c>
      <c r="B163" s="2" t="s">
        <v>223</v>
      </c>
      <c r="C163">
        <v>74</v>
      </c>
      <c r="D163" s="2" t="s">
        <v>306</v>
      </c>
      <c r="E163" s="2" t="s">
        <v>105</v>
      </c>
      <c r="F163" s="2" t="s">
        <v>105</v>
      </c>
      <c r="G163" s="2" t="s">
        <v>108</v>
      </c>
      <c r="H163" s="2" t="s">
        <v>289</v>
      </c>
      <c r="I163" s="2" t="s">
        <v>133</v>
      </c>
      <c r="J163" s="2" t="s">
        <v>226</v>
      </c>
      <c r="K163" t="b">
        <v>0</v>
      </c>
      <c r="L163" s="2" t="s">
        <v>130</v>
      </c>
    </row>
    <row r="164" spans="1:12" x14ac:dyDescent="0.3">
      <c r="A164" s="2" t="s">
        <v>8</v>
      </c>
      <c r="B164" s="2" t="s">
        <v>223</v>
      </c>
      <c r="C164">
        <v>75</v>
      </c>
      <c r="D164" s="2" t="s">
        <v>307</v>
      </c>
      <c r="E164" s="2" t="s">
        <v>91</v>
      </c>
      <c r="F164" s="2" t="s">
        <v>91</v>
      </c>
      <c r="G164" s="2" t="s">
        <v>108</v>
      </c>
      <c r="H164" s="2" t="s">
        <v>289</v>
      </c>
      <c r="I164" s="2" t="s">
        <v>133</v>
      </c>
      <c r="J164" s="2" t="s">
        <v>226</v>
      </c>
      <c r="K164" t="b">
        <v>0</v>
      </c>
      <c r="L164" s="2" t="s">
        <v>130</v>
      </c>
    </row>
    <row r="165" spans="1:12" x14ac:dyDescent="0.3">
      <c r="A165" s="2" t="s">
        <v>8</v>
      </c>
      <c r="B165" s="2" t="s">
        <v>223</v>
      </c>
      <c r="C165">
        <v>76</v>
      </c>
      <c r="D165" s="2" t="s">
        <v>308</v>
      </c>
      <c r="E165" s="2" t="s">
        <v>91</v>
      </c>
      <c r="F165" s="2" t="s">
        <v>91</v>
      </c>
      <c r="G165" s="2" t="s">
        <v>108</v>
      </c>
      <c r="H165" s="2" t="s">
        <v>289</v>
      </c>
      <c r="I165" s="2" t="s">
        <v>133</v>
      </c>
      <c r="J165" s="2" t="s">
        <v>226</v>
      </c>
      <c r="K165" t="b">
        <v>0</v>
      </c>
      <c r="L165" s="2" t="s">
        <v>130</v>
      </c>
    </row>
    <row r="166" spans="1:12" x14ac:dyDescent="0.3">
      <c r="A166" s="2" t="s">
        <v>8</v>
      </c>
      <c r="B166" s="2" t="s">
        <v>223</v>
      </c>
      <c r="C166">
        <v>77</v>
      </c>
      <c r="D166" s="2" t="s">
        <v>309</v>
      </c>
      <c r="E166" s="2" t="s">
        <v>92</v>
      </c>
      <c r="F166" s="2" t="s">
        <v>92</v>
      </c>
      <c r="G166" s="2" t="s">
        <v>108</v>
      </c>
      <c r="H166" s="2" t="s">
        <v>289</v>
      </c>
      <c r="I166" s="2" t="s">
        <v>133</v>
      </c>
      <c r="J166" s="2" t="s">
        <v>226</v>
      </c>
      <c r="K166" t="b">
        <v>0</v>
      </c>
      <c r="L166" s="2" t="s">
        <v>130</v>
      </c>
    </row>
    <row r="167" spans="1:12" x14ac:dyDescent="0.3">
      <c r="A167" s="2" t="s">
        <v>8</v>
      </c>
      <c r="B167" s="2" t="s">
        <v>223</v>
      </c>
      <c r="C167">
        <v>78</v>
      </c>
      <c r="D167" s="2" t="s">
        <v>310</v>
      </c>
      <c r="E167" s="2" t="s">
        <v>93</v>
      </c>
      <c r="F167" s="2" t="s">
        <v>93</v>
      </c>
      <c r="G167" s="2" t="s">
        <v>108</v>
      </c>
      <c r="H167" s="2" t="s">
        <v>289</v>
      </c>
      <c r="I167" s="2" t="s">
        <v>133</v>
      </c>
      <c r="J167" s="2" t="s">
        <v>226</v>
      </c>
      <c r="K167" t="b">
        <v>0</v>
      </c>
      <c r="L167" s="2" t="s">
        <v>130</v>
      </c>
    </row>
    <row r="168" spans="1:12" x14ac:dyDescent="0.3">
      <c r="A168" s="2" t="s">
        <v>8</v>
      </c>
      <c r="B168" s="2" t="s">
        <v>223</v>
      </c>
      <c r="C168">
        <v>79</v>
      </c>
      <c r="D168" s="2" t="s">
        <v>311</v>
      </c>
      <c r="E168" s="2" t="s">
        <v>106</v>
      </c>
      <c r="F168" s="2" t="s">
        <v>106</v>
      </c>
      <c r="G168" s="2" t="s">
        <v>108</v>
      </c>
      <c r="H168" s="2" t="s">
        <v>289</v>
      </c>
      <c r="I168" s="2" t="s">
        <v>133</v>
      </c>
      <c r="J168" s="2" t="s">
        <v>226</v>
      </c>
      <c r="K168" t="b">
        <v>0</v>
      </c>
      <c r="L168" s="2" t="s">
        <v>130</v>
      </c>
    </row>
    <row r="169" spans="1:12" x14ac:dyDescent="0.3">
      <c r="A169" s="2" t="s">
        <v>8</v>
      </c>
      <c r="B169" s="2" t="s">
        <v>223</v>
      </c>
      <c r="C169">
        <v>80</v>
      </c>
      <c r="D169" s="2" t="s">
        <v>312</v>
      </c>
      <c r="E169" s="2" t="s">
        <v>107</v>
      </c>
      <c r="F169" s="2" t="s">
        <v>107</v>
      </c>
      <c r="G169" s="2" t="s">
        <v>108</v>
      </c>
      <c r="H169" s="2" t="s">
        <v>289</v>
      </c>
      <c r="I169" s="2" t="s">
        <v>133</v>
      </c>
      <c r="J169" s="2" t="s">
        <v>226</v>
      </c>
      <c r="K169" t="b">
        <v>0</v>
      </c>
      <c r="L169" s="2" t="s">
        <v>130</v>
      </c>
    </row>
    <row r="170" spans="1:12" x14ac:dyDescent="0.3">
      <c r="A170" s="2" t="s">
        <v>8</v>
      </c>
      <c r="B170" s="2" t="s">
        <v>223</v>
      </c>
      <c r="C170">
        <v>81</v>
      </c>
      <c r="D170" s="2" t="s">
        <v>313</v>
      </c>
      <c r="E170" s="2" t="s">
        <v>110</v>
      </c>
      <c r="F170" s="2" t="s">
        <v>110</v>
      </c>
      <c r="G170" s="2" t="s">
        <v>46</v>
      </c>
      <c r="H170" s="2" t="s">
        <v>163</v>
      </c>
      <c r="I170" s="2" t="s">
        <v>133</v>
      </c>
      <c r="J170" s="2" t="s">
        <v>226</v>
      </c>
      <c r="K170" t="b">
        <v>0</v>
      </c>
      <c r="L170" s="2" t="s">
        <v>130</v>
      </c>
    </row>
    <row r="171" spans="1:12" x14ac:dyDescent="0.3">
      <c r="A171" s="2" t="s">
        <v>8</v>
      </c>
      <c r="B171" s="2" t="s">
        <v>223</v>
      </c>
      <c r="C171">
        <v>82</v>
      </c>
      <c r="D171" s="2" t="s">
        <v>314</v>
      </c>
      <c r="E171" s="2" t="s">
        <v>111</v>
      </c>
      <c r="F171" s="2" t="s">
        <v>111</v>
      </c>
      <c r="G171" s="2" t="s">
        <v>46</v>
      </c>
      <c r="H171" s="2" t="s">
        <v>163</v>
      </c>
      <c r="I171" s="2" t="s">
        <v>133</v>
      </c>
      <c r="J171" s="2" t="s">
        <v>226</v>
      </c>
      <c r="K171" t="b">
        <v>0</v>
      </c>
      <c r="L171" s="2" t="s">
        <v>130</v>
      </c>
    </row>
    <row r="172" spans="1:12" x14ac:dyDescent="0.3">
      <c r="A172" s="2" t="s">
        <v>8</v>
      </c>
      <c r="B172" s="2" t="s">
        <v>223</v>
      </c>
      <c r="C172">
        <v>83</v>
      </c>
      <c r="D172" s="2" t="s">
        <v>315</v>
      </c>
      <c r="E172" s="2" t="s">
        <v>112</v>
      </c>
      <c r="F172" s="2" t="s">
        <v>112</v>
      </c>
      <c r="G172" s="2" t="s">
        <v>46</v>
      </c>
      <c r="H172" s="2" t="s">
        <v>163</v>
      </c>
      <c r="I172" s="2" t="s">
        <v>133</v>
      </c>
      <c r="J172" s="2" t="s">
        <v>226</v>
      </c>
      <c r="K172" t="b">
        <v>0</v>
      </c>
      <c r="L172" s="2" t="s">
        <v>130</v>
      </c>
    </row>
    <row r="173" spans="1:12" x14ac:dyDescent="0.3">
      <c r="A173" s="2" t="s">
        <v>8</v>
      </c>
      <c r="B173" s="2" t="s">
        <v>223</v>
      </c>
      <c r="C173">
        <v>84</v>
      </c>
      <c r="D173" s="2" t="s">
        <v>316</v>
      </c>
      <c r="E173" s="2" t="s">
        <v>109</v>
      </c>
      <c r="F173" s="2" t="s">
        <v>109</v>
      </c>
      <c r="G173" s="2" t="s">
        <v>46</v>
      </c>
      <c r="H173" s="2" t="s">
        <v>163</v>
      </c>
      <c r="I173" s="2" t="s">
        <v>133</v>
      </c>
      <c r="J173" s="2" t="s">
        <v>226</v>
      </c>
      <c r="K173" t="b">
        <v>0</v>
      </c>
      <c r="L173" s="2" t="s">
        <v>130</v>
      </c>
    </row>
    <row r="174" spans="1:12" x14ac:dyDescent="0.3">
      <c r="A174" s="2" t="s">
        <v>8</v>
      </c>
      <c r="B174" s="2" t="s">
        <v>223</v>
      </c>
      <c r="C174">
        <v>85</v>
      </c>
      <c r="D174" s="2" t="s">
        <v>317</v>
      </c>
      <c r="E174" s="2" t="s">
        <v>113</v>
      </c>
      <c r="F174" s="2" t="s">
        <v>113</v>
      </c>
      <c r="G174" s="2" t="s">
        <v>46</v>
      </c>
      <c r="H174" s="2" t="s">
        <v>163</v>
      </c>
      <c r="I174" s="2" t="s">
        <v>133</v>
      </c>
      <c r="J174" s="2" t="s">
        <v>226</v>
      </c>
      <c r="K174" t="b">
        <v>0</v>
      </c>
      <c r="L174" s="2" t="s">
        <v>130</v>
      </c>
    </row>
    <row r="175" spans="1:12" x14ac:dyDescent="0.3">
      <c r="A175" s="2" t="s">
        <v>8</v>
      </c>
      <c r="B175" s="2" t="s">
        <v>223</v>
      </c>
      <c r="C175">
        <v>86</v>
      </c>
      <c r="D175" s="2" t="s">
        <v>318</v>
      </c>
      <c r="E175" s="2" t="s">
        <v>114</v>
      </c>
      <c r="F175" s="2" t="s">
        <v>114</v>
      </c>
      <c r="G175" s="2" t="s">
        <v>46</v>
      </c>
      <c r="H175" s="2" t="s">
        <v>163</v>
      </c>
      <c r="I175" s="2" t="s">
        <v>133</v>
      </c>
      <c r="J175" s="2" t="s">
        <v>226</v>
      </c>
      <c r="K175" t="b">
        <v>0</v>
      </c>
      <c r="L175" s="2" t="s">
        <v>130</v>
      </c>
    </row>
    <row r="176" spans="1:12" x14ac:dyDescent="0.3">
      <c r="A176" s="2" t="s">
        <v>8</v>
      </c>
      <c r="B176" s="2" t="s">
        <v>223</v>
      </c>
      <c r="C176">
        <v>87</v>
      </c>
      <c r="D176" s="2" t="s">
        <v>319</v>
      </c>
      <c r="E176" s="2" t="s">
        <v>73</v>
      </c>
      <c r="F176" s="2" t="s">
        <v>73</v>
      </c>
      <c r="G176" s="2" t="s">
        <v>74</v>
      </c>
      <c r="H176" s="2" t="s">
        <v>320</v>
      </c>
      <c r="I176" s="2" t="s">
        <v>133</v>
      </c>
      <c r="J176" s="2" t="s">
        <v>226</v>
      </c>
      <c r="K176" t="b">
        <v>0</v>
      </c>
      <c r="L176" s="2" t="s">
        <v>130</v>
      </c>
    </row>
    <row r="177" spans="1:12" x14ac:dyDescent="0.3">
      <c r="A177" s="2" t="s">
        <v>8</v>
      </c>
      <c r="B177" s="2" t="s">
        <v>223</v>
      </c>
      <c r="C177">
        <v>88</v>
      </c>
      <c r="D177" s="2" t="s">
        <v>321</v>
      </c>
      <c r="E177" s="2" t="s">
        <v>75</v>
      </c>
      <c r="F177" s="2" t="s">
        <v>75</v>
      </c>
      <c r="G177" s="2" t="s">
        <v>74</v>
      </c>
      <c r="H177" s="2" t="s">
        <v>320</v>
      </c>
      <c r="I177" s="2" t="s">
        <v>133</v>
      </c>
      <c r="J177" s="2" t="s">
        <v>226</v>
      </c>
      <c r="K177" t="b">
        <v>0</v>
      </c>
      <c r="L177" s="2" t="s">
        <v>130</v>
      </c>
    </row>
    <row r="178" spans="1:12" x14ac:dyDescent="0.3">
      <c r="A178" s="2" t="s">
        <v>8</v>
      </c>
      <c r="B178" s="2" t="s">
        <v>223</v>
      </c>
      <c r="C178">
        <v>89</v>
      </c>
      <c r="D178" s="2" t="s">
        <v>322</v>
      </c>
      <c r="E178" s="2" t="s">
        <v>76</v>
      </c>
      <c r="F178" s="2" t="s">
        <v>76</v>
      </c>
      <c r="G178" s="2" t="s">
        <v>74</v>
      </c>
      <c r="H178" s="2" t="s">
        <v>320</v>
      </c>
      <c r="I178" s="2" t="s">
        <v>133</v>
      </c>
      <c r="J178" s="2" t="s">
        <v>226</v>
      </c>
      <c r="K178" t="b">
        <v>0</v>
      </c>
      <c r="L178" s="2" t="s">
        <v>130</v>
      </c>
    </row>
    <row r="179" spans="1:12" x14ac:dyDescent="0.3">
      <c r="A179" s="2" t="s">
        <v>8</v>
      </c>
      <c r="B179" s="2" t="s">
        <v>223</v>
      </c>
      <c r="C179">
        <v>90</v>
      </c>
      <c r="D179" s="2" t="s">
        <v>323</v>
      </c>
      <c r="E179" s="2" t="s">
        <v>78</v>
      </c>
      <c r="F179" s="2" t="s">
        <v>78</v>
      </c>
      <c r="G179" s="2" t="s">
        <v>80</v>
      </c>
      <c r="H179" s="2" t="s">
        <v>324</v>
      </c>
      <c r="I179" s="2" t="s">
        <v>133</v>
      </c>
      <c r="J179" s="2" t="s">
        <v>226</v>
      </c>
      <c r="K179" t="b">
        <v>0</v>
      </c>
      <c r="L179" s="2" t="s">
        <v>130</v>
      </c>
    </row>
    <row r="180" spans="1:12" x14ac:dyDescent="0.3">
      <c r="A180" s="2" t="s">
        <v>8</v>
      </c>
      <c r="B180" s="2" t="s">
        <v>223</v>
      </c>
      <c r="C180">
        <v>91</v>
      </c>
      <c r="D180" s="2" t="s">
        <v>325</v>
      </c>
      <c r="E180" s="2" t="s">
        <v>79</v>
      </c>
      <c r="F180" s="2" t="s">
        <v>79</v>
      </c>
      <c r="G180" s="2" t="s">
        <v>80</v>
      </c>
      <c r="H180" s="2" t="s">
        <v>324</v>
      </c>
      <c r="I180" s="2" t="s">
        <v>133</v>
      </c>
      <c r="J180" s="2" t="s">
        <v>226</v>
      </c>
      <c r="K180" t="b">
        <v>0</v>
      </c>
      <c r="L180" s="2" t="s">
        <v>130</v>
      </c>
    </row>
    <row r="181" spans="1:12" x14ac:dyDescent="0.3">
      <c r="A181" s="2" t="s">
        <v>8</v>
      </c>
      <c r="B181" s="2" t="s">
        <v>223</v>
      </c>
      <c r="C181">
        <v>92</v>
      </c>
      <c r="D181" s="2" t="s">
        <v>326</v>
      </c>
      <c r="E181" s="2" t="s">
        <v>11</v>
      </c>
      <c r="F181" s="2" t="s">
        <v>11</v>
      </c>
      <c r="G181" s="2" t="s">
        <v>80</v>
      </c>
      <c r="H181" s="2" t="s">
        <v>324</v>
      </c>
      <c r="I181" s="2" t="s">
        <v>133</v>
      </c>
      <c r="J181" s="2" t="s">
        <v>226</v>
      </c>
      <c r="K181" t="b">
        <v>0</v>
      </c>
      <c r="L181" s="2" t="s">
        <v>130</v>
      </c>
    </row>
    <row r="182" spans="1:12" x14ac:dyDescent="0.3">
      <c r="A182" s="2" t="s">
        <v>8</v>
      </c>
      <c r="B182" s="2" t="s">
        <v>223</v>
      </c>
      <c r="C182">
        <v>93</v>
      </c>
      <c r="D182" s="2" t="s">
        <v>327</v>
      </c>
      <c r="E182" s="2" t="s">
        <v>25</v>
      </c>
      <c r="F182" s="2" t="s">
        <v>25</v>
      </c>
      <c r="G182" s="2" t="s">
        <v>80</v>
      </c>
      <c r="H182" s="2" t="s">
        <v>324</v>
      </c>
      <c r="I182" s="2" t="s">
        <v>133</v>
      </c>
      <c r="J182" s="2" t="s">
        <v>226</v>
      </c>
      <c r="K182" t="b">
        <v>0</v>
      </c>
      <c r="L182" s="2" t="s">
        <v>130</v>
      </c>
    </row>
    <row r="183" spans="1:12" x14ac:dyDescent="0.3">
      <c r="A183" s="2" t="s">
        <v>8</v>
      </c>
      <c r="B183" s="2" t="s">
        <v>223</v>
      </c>
      <c r="C183">
        <v>94</v>
      </c>
      <c r="D183" s="2" t="s">
        <v>328</v>
      </c>
      <c r="E183" s="2" t="s">
        <v>27</v>
      </c>
      <c r="F183" s="2" t="s">
        <v>27</v>
      </c>
      <c r="G183" s="2" t="s">
        <v>80</v>
      </c>
      <c r="H183" s="2" t="s">
        <v>324</v>
      </c>
      <c r="I183" s="2" t="s">
        <v>133</v>
      </c>
      <c r="J183" s="2" t="s">
        <v>226</v>
      </c>
      <c r="K183" t="b">
        <v>0</v>
      </c>
      <c r="L183" s="2" t="s">
        <v>130</v>
      </c>
    </row>
    <row r="184" spans="1:12" x14ac:dyDescent="0.3">
      <c r="A184" s="2" t="s">
        <v>8</v>
      </c>
      <c r="B184" s="2" t="s">
        <v>223</v>
      </c>
      <c r="C184">
        <v>95</v>
      </c>
      <c r="D184" s="2" t="s">
        <v>329</v>
      </c>
      <c r="E184" s="2" t="s">
        <v>47</v>
      </c>
      <c r="F184" s="2" t="s">
        <v>47</v>
      </c>
      <c r="G184" s="2" t="s">
        <v>80</v>
      </c>
      <c r="H184" s="2" t="s">
        <v>324</v>
      </c>
      <c r="I184" s="2" t="s">
        <v>133</v>
      </c>
      <c r="J184" s="2" t="s">
        <v>226</v>
      </c>
      <c r="K184" t="b">
        <v>0</v>
      </c>
      <c r="L184" s="2" t="s">
        <v>130</v>
      </c>
    </row>
    <row r="185" spans="1:12" x14ac:dyDescent="0.3">
      <c r="A185" s="2" t="s">
        <v>8</v>
      </c>
      <c r="B185" s="2" t="s">
        <v>223</v>
      </c>
      <c r="C185">
        <v>96</v>
      </c>
      <c r="D185" s="2" t="s">
        <v>330</v>
      </c>
      <c r="E185" s="2" t="s">
        <v>122</v>
      </c>
      <c r="F185" s="2" t="s">
        <v>122</v>
      </c>
      <c r="G185" s="2" t="s">
        <v>80</v>
      </c>
      <c r="H185" s="2" t="s">
        <v>324</v>
      </c>
      <c r="I185" s="2" t="s">
        <v>133</v>
      </c>
      <c r="J185" s="2" t="s">
        <v>226</v>
      </c>
      <c r="K185" t="b">
        <v>0</v>
      </c>
      <c r="L185" s="2" t="s">
        <v>130</v>
      </c>
    </row>
    <row r="186" spans="1:12" x14ac:dyDescent="0.3">
      <c r="A186" s="2" t="s">
        <v>8</v>
      </c>
      <c r="B186" s="2" t="s">
        <v>223</v>
      </c>
      <c r="C186">
        <v>97</v>
      </c>
      <c r="D186" s="2" t="s">
        <v>331</v>
      </c>
      <c r="E186" s="2" t="s">
        <v>24</v>
      </c>
      <c r="F186" s="2" t="s">
        <v>24</v>
      </c>
      <c r="G186" s="2" t="s">
        <v>80</v>
      </c>
      <c r="H186" s="2" t="s">
        <v>324</v>
      </c>
      <c r="I186" s="2" t="s">
        <v>133</v>
      </c>
      <c r="J186" s="2" t="s">
        <v>226</v>
      </c>
      <c r="K186" t="b">
        <v>0</v>
      </c>
      <c r="L186" s="2" t="s">
        <v>130</v>
      </c>
    </row>
    <row r="187" spans="1:12" hidden="1" x14ac:dyDescent="0.3">
      <c r="A187" s="2" t="s">
        <v>8</v>
      </c>
      <c r="B187" s="2" t="s">
        <v>332</v>
      </c>
      <c r="C187">
        <v>1</v>
      </c>
      <c r="D187" s="2" t="s">
        <v>333</v>
      </c>
      <c r="E187" s="2" t="s">
        <v>56</v>
      </c>
      <c r="F187" s="2" t="s">
        <v>225</v>
      </c>
      <c r="G187" s="2" t="s">
        <v>36</v>
      </c>
      <c r="H187" s="2" t="s">
        <v>132</v>
      </c>
      <c r="I187" s="2" t="s">
        <v>133</v>
      </c>
      <c r="J187" s="2" t="s">
        <v>334</v>
      </c>
      <c r="K187" t="b">
        <v>1</v>
      </c>
      <c r="L187" s="2" t="s">
        <v>130</v>
      </c>
    </row>
    <row r="188" spans="1:12" hidden="1" x14ac:dyDescent="0.3">
      <c r="A188" s="2" t="s">
        <v>8</v>
      </c>
      <c r="B188" s="2" t="s">
        <v>332</v>
      </c>
      <c r="C188">
        <v>2</v>
      </c>
      <c r="D188" s="2" t="s">
        <v>335</v>
      </c>
      <c r="E188" s="2" t="s">
        <v>71</v>
      </c>
      <c r="F188" s="2" t="s">
        <v>228</v>
      </c>
      <c r="G188" s="2" t="s">
        <v>36</v>
      </c>
      <c r="H188" s="2" t="s">
        <v>132</v>
      </c>
      <c r="I188" s="2" t="s">
        <v>133</v>
      </c>
      <c r="J188" s="2" t="s">
        <v>334</v>
      </c>
      <c r="K188" t="b">
        <v>1</v>
      </c>
      <c r="L188" s="2" t="s">
        <v>130</v>
      </c>
    </row>
    <row r="189" spans="1:12" hidden="1" x14ac:dyDescent="0.3">
      <c r="A189" s="2" t="s">
        <v>8</v>
      </c>
      <c r="B189" s="2" t="s">
        <v>332</v>
      </c>
      <c r="C189">
        <v>3</v>
      </c>
      <c r="D189" s="2" t="s">
        <v>336</v>
      </c>
      <c r="E189" s="2" t="s">
        <v>28</v>
      </c>
      <c r="F189" s="2" t="s">
        <v>28</v>
      </c>
      <c r="G189" s="2" t="s">
        <v>36</v>
      </c>
      <c r="H189" s="2" t="s">
        <v>132</v>
      </c>
      <c r="I189" s="2" t="s">
        <v>133</v>
      </c>
      <c r="J189" s="2" t="s">
        <v>334</v>
      </c>
      <c r="K189" t="b">
        <v>0</v>
      </c>
      <c r="L189" s="2" t="s">
        <v>130</v>
      </c>
    </row>
    <row r="190" spans="1:12" hidden="1" x14ac:dyDescent="0.3">
      <c r="A190" s="2" t="s">
        <v>8</v>
      </c>
      <c r="B190" s="2" t="s">
        <v>332</v>
      </c>
      <c r="C190">
        <v>4</v>
      </c>
      <c r="D190" s="2" t="s">
        <v>337</v>
      </c>
      <c r="E190" s="2" t="s">
        <v>30</v>
      </c>
      <c r="F190" s="2" t="s">
        <v>30</v>
      </c>
      <c r="G190" s="2" t="s">
        <v>36</v>
      </c>
      <c r="H190" s="2" t="s">
        <v>132</v>
      </c>
      <c r="I190" s="2" t="s">
        <v>133</v>
      </c>
      <c r="J190" s="2" t="s">
        <v>334</v>
      </c>
      <c r="K190" t="b">
        <v>0</v>
      </c>
      <c r="L190" s="2" t="s">
        <v>130</v>
      </c>
    </row>
    <row r="191" spans="1:12" hidden="1" x14ac:dyDescent="0.3">
      <c r="A191" s="2" t="s">
        <v>8</v>
      </c>
      <c r="B191" s="2" t="s">
        <v>332</v>
      </c>
      <c r="C191">
        <v>5</v>
      </c>
      <c r="D191" s="2" t="s">
        <v>338</v>
      </c>
      <c r="E191" s="2" t="s">
        <v>51</v>
      </c>
      <c r="F191" s="2" t="s">
        <v>51</v>
      </c>
      <c r="G191" s="2" t="s">
        <v>36</v>
      </c>
      <c r="H191" s="2" t="s">
        <v>132</v>
      </c>
      <c r="I191" s="2" t="s">
        <v>133</v>
      </c>
      <c r="J191" s="2" t="s">
        <v>334</v>
      </c>
      <c r="K191" t="b">
        <v>0</v>
      </c>
      <c r="L191" s="2" t="s">
        <v>130</v>
      </c>
    </row>
    <row r="192" spans="1:12" hidden="1" x14ac:dyDescent="0.3">
      <c r="A192" s="2" t="s">
        <v>8</v>
      </c>
      <c r="B192" s="2" t="s">
        <v>332</v>
      </c>
      <c r="C192">
        <v>6</v>
      </c>
      <c r="D192" s="2" t="s">
        <v>339</v>
      </c>
      <c r="E192" s="2" t="s">
        <v>70</v>
      </c>
      <c r="F192" s="2" t="s">
        <v>70</v>
      </c>
      <c r="G192" s="2" t="s">
        <v>36</v>
      </c>
      <c r="H192" s="2" t="s">
        <v>132</v>
      </c>
      <c r="I192" s="2" t="s">
        <v>133</v>
      </c>
      <c r="J192" s="2" t="s">
        <v>334</v>
      </c>
      <c r="K192" t="b">
        <v>0</v>
      </c>
      <c r="L192" s="2" t="s">
        <v>130</v>
      </c>
    </row>
    <row r="193" spans="1:12" hidden="1" x14ac:dyDescent="0.3">
      <c r="A193" s="2" t="s">
        <v>8</v>
      </c>
      <c r="B193" s="2" t="s">
        <v>332</v>
      </c>
      <c r="C193">
        <v>7</v>
      </c>
      <c r="D193" s="2" t="s">
        <v>340</v>
      </c>
      <c r="E193" s="2" t="s">
        <v>48</v>
      </c>
      <c r="F193" s="2" t="s">
        <v>48</v>
      </c>
      <c r="G193" s="2" t="s">
        <v>36</v>
      </c>
      <c r="H193" s="2" t="s">
        <v>132</v>
      </c>
      <c r="I193" s="2" t="s">
        <v>133</v>
      </c>
      <c r="J193" s="2" t="s">
        <v>334</v>
      </c>
      <c r="K193" t="b">
        <v>0</v>
      </c>
      <c r="L193" s="2" t="s">
        <v>130</v>
      </c>
    </row>
    <row r="194" spans="1:12" hidden="1" x14ac:dyDescent="0.3">
      <c r="A194" s="2" t="s">
        <v>8</v>
      </c>
      <c r="B194" s="2" t="s">
        <v>332</v>
      </c>
      <c r="C194">
        <v>8</v>
      </c>
      <c r="D194" s="2" t="s">
        <v>341</v>
      </c>
      <c r="E194" s="2" t="s">
        <v>7</v>
      </c>
      <c r="F194" s="2" t="s">
        <v>7</v>
      </c>
      <c r="G194" s="2" t="s">
        <v>36</v>
      </c>
      <c r="H194" s="2" t="s">
        <v>132</v>
      </c>
      <c r="I194" s="2" t="s">
        <v>133</v>
      </c>
      <c r="J194" s="2" t="s">
        <v>334</v>
      </c>
      <c r="K194" t="b">
        <v>0</v>
      </c>
      <c r="L194" s="2" t="s">
        <v>130</v>
      </c>
    </row>
    <row r="195" spans="1:12" hidden="1" x14ac:dyDescent="0.3">
      <c r="A195" s="2" t="s">
        <v>8</v>
      </c>
      <c r="B195" s="2" t="s">
        <v>332</v>
      </c>
      <c r="C195">
        <v>9</v>
      </c>
      <c r="D195" s="2" t="s">
        <v>342</v>
      </c>
      <c r="E195" s="2" t="s">
        <v>31</v>
      </c>
      <c r="F195" s="2" t="s">
        <v>31</v>
      </c>
      <c r="G195" s="2" t="s">
        <v>36</v>
      </c>
      <c r="H195" s="2" t="s">
        <v>132</v>
      </c>
      <c r="I195" s="2" t="s">
        <v>133</v>
      </c>
      <c r="J195" s="2" t="s">
        <v>334</v>
      </c>
      <c r="K195" t="b">
        <v>0</v>
      </c>
      <c r="L195" s="2" t="s">
        <v>130</v>
      </c>
    </row>
    <row r="196" spans="1:12" hidden="1" x14ac:dyDescent="0.3">
      <c r="A196" s="2" t="s">
        <v>8</v>
      </c>
      <c r="B196" s="2" t="s">
        <v>332</v>
      </c>
      <c r="C196">
        <v>10</v>
      </c>
      <c r="D196" s="2" t="s">
        <v>343</v>
      </c>
      <c r="E196" s="2" t="s">
        <v>33</v>
      </c>
      <c r="F196" s="2" t="s">
        <v>33</v>
      </c>
      <c r="G196" s="2" t="s">
        <v>36</v>
      </c>
      <c r="H196" s="2" t="s">
        <v>132</v>
      </c>
      <c r="I196" s="2" t="s">
        <v>133</v>
      </c>
      <c r="J196" s="2" t="s">
        <v>334</v>
      </c>
      <c r="K196" t="b">
        <v>0</v>
      </c>
      <c r="L196" s="2" t="s">
        <v>130</v>
      </c>
    </row>
    <row r="197" spans="1:12" hidden="1" x14ac:dyDescent="0.3">
      <c r="A197" s="2" t="s">
        <v>8</v>
      </c>
      <c r="B197" s="2" t="s">
        <v>332</v>
      </c>
      <c r="C197">
        <v>11</v>
      </c>
      <c r="D197" s="2" t="s">
        <v>344</v>
      </c>
      <c r="E197" s="2" t="s">
        <v>58</v>
      </c>
      <c r="F197" s="2" t="s">
        <v>58</v>
      </c>
      <c r="G197" s="2" t="s">
        <v>36</v>
      </c>
      <c r="H197" s="2" t="s">
        <v>132</v>
      </c>
      <c r="I197" s="2" t="s">
        <v>133</v>
      </c>
      <c r="J197" s="2" t="s">
        <v>334</v>
      </c>
      <c r="K197" t="b">
        <v>0</v>
      </c>
      <c r="L197" s="2" t="s">
        <v>130</v>
      </c>
    </row>
    <row r="198" spans="1:12" hidden="1" x14ac:dyDescent="0.3">
      <c r="A198" s="2" t="s">
        <v>8</v>
      </c>
      <c r="B198" s="2" t="s">
        <v>332</v>
      </c>
      <c r="C198">
        <v>12</v>
      </c>
      <c r="D198" s="2" t="s">
        <v>345</v>
      </c>
      <c r="E198" s="2" t="s">
        <v>59</v>
      </c>
      <c r="F198" s="2" t="s">
        <v>239</v>
      </c>
      <c r="G198" s="2" t="s">
        <v>36</v>
      </c>
      <c r="H198" s="2" t="s">
        <v>132</v>
      </c>
      <c r="I198" s="2" t="s">
        <v>133</v>
      </c>
      <c r="J198" s="2" t="s">
        <v>334</v>
      </c>
      <c r="K198" t="b">
        <v>1</v>
      </c>
      <c r="L198" s="2" t="s">
        <v>130</v>
      </c>
    </row>
    <row r="199" spans="1:12" hidden="1" x14ac:dyDescent="0.3">
      <c r="A199" s="2" t="s">
        <v>8</v>
      </c>
      <c r="B199" s="2" t="s">
        <v>332</v>
      </c>
      <c r="C199">
        <v>13</v>
      </c>
      <c r="D199" s="2" t="s">
        <v>346</v>
      </c>
      <c r="E199" s="2" t="s">
        <v>61</v>
      </c>
      <c r="F199" s="2" t="s">
        <v>241</v>
      </c>
      <c r="G199" s="2" t="s">
        <v>36</v>
      </c>
      <c r="H199" s="2" t="s">
        <v>132</v>
      </c>
      <c r="I199" s="2" t="s">
        <v>133</v>
      </c>
      <c r="J199" s="2" t="s">
        <v>334</v>
      </c>
      <c r="K199" t="b">
        <v>1</v>
      </c>
      <c r="L199" s="2" t="s">
        <v>130</v>
      </c>
    </row>
    <row r="200" spans="1:12" hidden="1" x14ac:dyDescent="0.3">
      <c r="A200" s="2" t="s">
        <v>8</v>
      </c>
      <c r="B200" s="2" t="s">
        <v>332</v>
      </c>
      <c r="C200">
        <v>14</v>
      </c>
      <c r="D200" s="2" t="s">
        <v>347</v>
      </c>
      <c r="E200" s="2" t="s">
        <v>121</v>
      </c>
      <c r="F200" s="2" t="s">
        <v>121</v>
      </c>
      <c r="G200" s="2" t="s">
        <v>36</v>
      </c>
      <c r="H200" s="2" t="s">
        <v>132</v>
      </c>
      <c r="I200" s="2" t="s">
        <v>133</v>
      </c>
      <c r="J200" s="2" t="s">
        <v>334</v>
      </c>
      <c r="K200" t="b">
        <v>0</v>
      </c>
      <c r="L200" s="2" t="s">
        <v>130</v>
      </c>
    </row>
    <row r="201" spans="1:12" hidden="1" x14ac:dyDescent="0.3">
      <c r="A201" s="2" t="s">
        <v>8</v>
      </c>
      <c r="B201" s="2" t="s">
        <v>332</v>
      </c>
      <c r="C201">
        <v>15</v>
      </c>
      <c r="D201" s="2" t="s">
        <v>348</v>
      </c>
      <c r="E201" s="2" t="s">
        <v>62</v>
      </c>
      <c r="F201" s="2" t="s">
        <v>62</v>
      </c>
      <c r="G201" s="2" t="s">
        <v>36</v>
      </c>
      <c r="H201" s="2" t="s">
        <v>132</v>
      </c>
      <c r="I201" s="2" t="s">
        <v>133</v>
      </c>
      <c r="J201" s="2" t="s">
        <v>334</v>
      </c>
      <c r="K201" t="b">
        <v>0</v>
      </c>
      <c r="L201" s="2" t="s">
        <v>130</v>
      </c>
    </row>
    <row r="202" spans="1:12" hidden="1" x14ac:dyDescent="0.3">
      <c r="A202" s="2" t="s">
        <v>8</v>
      </c>
      <c r="B202" s="2" t="s">
        <v>332</v>
      </c>
      <c r="C202">
        <v>16</v>
      </c>
      <c r="D202" s="2" t="s">
        <v>349</v>
      </c>
      <c r="E202" s="2" t="s">
        <v>17</v>
      </c>
      <c r="F202" s="2" t="s">
        <v>17</v>
      </c>
      <c r="G202" s="2" t="s">
        <v>36</v>
      </c>
      <c r="H202" s="2" t="s">
        <v>132</v>
      </c>
      <c r="I202" s="2" t="s">
        <v>133</v>
      </c>
      <c r="J202" s="2" t="s">
        <v>334</v>
      </c>
      <c r="K202" t="b">
        <v>0</v>
      </c>
      <c r="L202" s="2" t="s">
        <v>130</v>
      </c>
    </row>
    <row r="203" spans="1:12" hidden="1" x14ac:dyDescent="0.3">
      <c r="A203" s="2" t="s">
        <v>8</v>
      </c>
      <c r="B203" s="2" t="s">
        <v>332</v>
      </c>
      <c r="C203">
        <v>17</v>
      </c>
      <c r="D203" s="2" t="s">
        <v>350</v>
      </c>
      <c r="E203" s="2" t="s">
        <v>60</v>
      </c>
      <c r="F203" s="2" t="s">
        <v>60</v>
      </c>
      <c r="G203" s="2" t="s">
        <v>36</v>
      </c>
      <c r="H203" s="2" t="s">
        <v>132</v>
      </c>
      <c r="I203" s="2" t="s">
        <v>133</v>
      </c>
      <c r="J203" s="2" t="s">
        <v>334</v>
      </c>
      <c r="K203" t="b">
        <v>0</v>
      </c>
      <c r="L203" s="2" t="s">
        <v>130</v>
      </c>
    </row>
    <row r="204" spans="1:12" hidden="1" x14ac:dyDescent="0.3">
      <c r="A204" s="2" t="s">
        <v>8</v>
      </c>
      <c r="B204" s="2" t="s">
        <v>332</v>
      </c>
      <c r="C204">
        <v>18</v>
      </c>
      <c r="D204" s="2" t="s">
        <v>351</v>
      </c>
      <c r="E204" s="2" t="s">
        <v>11</v>
      </c>
      <c r="F204" s="2" t="s">
        <v>11</v>
      </c>
      <c r="G204" s="2" t="s">
        <v>36</v>
      </c>
      <c r="H204" s="2" t="s">
        <v>132</v>
      </c>
      <c r="I204" s="2" t="s">
        <v>133</v>
      </c>
      <c r="J204" s="2" t="s">
        <v>334</v>
      </c>
      <c r="K204" t="b">
        <v>0</v>
      </c>
      <c r="L204" s="2" t="s">
        <v>130</v>
      </c>
    </row>
    <row r="205" spans="1:12" hidden="1" x14ac:dyDescent="0.3">
      <c r="A205" s="2" t="s">
        <v>8</v>
      </c>
      <c r="B205" s="2" t="s">
        <v>332</v>
      </c>
      <c r="C205">
        <v>19</v>
      </c>
      <c r="D205" s="2" t="s">
        <v>352</v>
      </c>
      <c r="E205" s="2" t="s">
        <v>55</v>
      </c>
      <c r="F205" s="2" t="s">
        <v>55</v>
      </c>
      <c r="G205" s="2" t="s">
        <v>36</v>
      </c>
      <c r="H205" s="2" t="s">
        <v>132</v>
      </c>
      <c r="I205" s="2" t="s">
        <v>133</v>
      </c>
      <c r="J205" s="2" t="s">
        <v>334</v>
      </c>
      <c r="K205" t="b">
        <v>0</v>
      </c>
      <c r="L205" s="2" t="s">
        <v>130</v>
      </c>
    </row>
    <row r="206" spans="1:12" hidden="1" x14ac:dyDescent="0.3">
      <c r="A206" s="2" t="s">
        <v>8</v>
      </c>
      <c r="B206" s="2" t="s">
        <v>332</v>
      </c>
      <c r="C206">
        <v>20</v>
      </c>
      <c r="D206" s="2" t="s">
        <v>353</v>
      </c>
      <c r="E206" s="2" t="s">
        <v>66</v>
      </c>
      <c r="F206" s="2" t="s">
        <v>66</v>
      </c>
      <c r="G206" s="2" t="s">
        <v>36</v>
      </c>
      <c r="H206" s="2" t="s">
        <v>132</v>
      </c>
      <c r="I206" s="2" t="s">
        <v>133</v>
      </c>
      <c r="J206" s="2" t="s">
        <v>334</v>
      </c>
      <c r="K206" t="b">
        <v>0</v>
      </c>
      <c r="L206" s="2" t="s">
        <v>130</v>
      </c>
    </row>
    <row r="207" spans="1:12" hidden="1" x14ac:dyDescent="0.3">
      <c r="A207" s="2" t="s">
        <v>8</v>
      </c>
      <c r="B207" s="2" t="s">
        <v>332</v>
      </c>
      <c r="C207">
        <v>21</v>
      </c>
      <c r="D207" s="2" t="s">
        <v>354</v>
      </c>
      <c r="E207" s="2" t="s">
        <v>25</v>
      </c>
      <c r="F207" s="2" t="s">
        <v>25</v>
      </c>
      <c r="G207" s="2" t="s">
        <v>36</v>
      </c>
      <c r="H207" s="2" t="s">
        <v>132</v>
      </c>
      <c r="I207" s="2" t="s">
        <v>133</v>
      </c>
      <c r="J207" s="2" t="s">
        <v>334</v>
      </c>
      <c r="K207" t="b">
        <v>0</v>
      </c>
      <c r="L207" s="2" t="s">
        <v>130</v>
      </c>
    </row>
    <row r="208" spans="1:12" hidden="1" x14ac:dyDescent="0.3">
      <c r="A208" s="2" t="s">
        <v>8</v>
      </c>
      <c r="B208" s="2" t="s">
        <v>332</v>
      </c>
      <c r="C208">
        <v>22</v>
      </c>
      <c r="D208" s="2" t="s">
        <v>355</v>
      </c>
      <c r="E208" s="2" t="s">
        <v>26</v>
      </c>
      <c r="F208" s="2" t="s">
        <v>26</v>
      </c>
      <c r="G208" s="2" t="s">
        <v>36</v>
      </c>
      <c r="H208" s="2" t="s">
        <v>132</v>
      </c>
      <c r="I208" s="2" t="s">
        <v>133</v>
      </c>
      <c r="J208" s="2" t="s">
        <v>334</v>
      </c>
      <c r="K208" t="b">
        <v>0</v>
      </c>
      <c r="L208" s="2" t="s">
        <v>130</v>
      </c>
    </row>
    <row r="209" spans="1:12" hidden="1" x14ac:dyDescent="0.3">
      <c r="A209" s="2" t="s">
        <v>8</v>
      </c>
      <c r="B209" s="2" t="s">
        <v>332</v>
      </c>
      <c r="C209">
        <v>23</v>
      </c>
      <c r="D209" s="2" t="s">
        <v>356</v>
      </c>
      <c r="E209" s="2" t="s">
        <v>27</v>
      </c>
      <c r="F209" s="2" t="s">
        <v>27</v>
      </c>
      <c r="G209" s="2" t="s">
        <v>36</v>
      </c>
      <c r="H209" s="2" t="s">
        <v>132</v>
      </c>
      <c r="I209" s="2" t="s">
        <v>133</v>
      </c>
      <c r="J209" s="2" t="s">
        <v>334</v>
      </c>
      <c r="K209" t="b">
        <v>0</v>
      </c>
      <c r="L209" s="2" t="s">
        <v>130</v>
      </c>
    </row>
    <row r="210" spans="1:12" hidden="1" x14ac:dyDescent="0.3">
      <c r="A210" s="2" t="s">
        <v>8</v>
      </c>
      <c r="B210" s="2" t="s">
        <v>332</v>
      </c>
      <c r="C210">
        <v>24</v>
      </c>
      <c r="D210" s="2" t="s">
        <v>357</v>
      </c>
      <c r="E210" s="2" t="s">
        <v>47</v>
      </c>
      <c r="F210" s="2" t="s">
        <v>47</v>
      </c>
      <c r="G210" s="2" t="s">
        <v>36</v>
      </c>
      <c r="H210" s="2" t="s">
        <v>132</v>
      </c>
      <c r="I210" s="2" t="s">
        <v>133</v>
      </c>
      <c r="J210" s="2" t="s">
        <v>334</v>
      </c>
      <c r="K210" t="b">
        <v>0</v>
      </c>
      <c r="L210" s="2" t="s">
        <v>130</v>
      </c>
    </row>
    <row r="211" spans="1:12" hidden="1" x14ac:dyDescent="0.3">
      <c r="A211" s="2" t="s">
        <v>8</v>
      </c>
      <c r="B211" s="2" t="s">
        <v>332</v>
      </c>
      <c r="C211">
        <v>25</v>
      </c>
      <c r="D211" s="2" t="s">
        <v>358</v>
      </c>
      <c r="E211" s="2" t="s">
        <v>24</v>
      </c>
      <c r="F211" s="2" t="s">
        <v>24</v>
      </c>
      <c r="G211" s="2" t="s">
        <v>36</v>
      </c>
      <c r="H211" s="2" t="s">
        <v>132</v>
      </c>
      <c r="I211" s="2" t="s">
        <v>133</v>
      </c>
      <c r="J211" s="2" t="s">
        <v>334</v>
      </c>
      <c r="K211" t="b">
        <v>0</v>
      </c>
      <c r="L211" s="2" t="s">
        <v>130</v>
      </c>
    </row>
    <row r="212" spans="1:12" hidden="1" x14ac:dyDescent="0.3">
      <c r="A212" s="2" t="s">
        <v>8</v>
      </c>
      <c r="B212" s="2" t="s">
        <v>332</v>
      </c>
      <c r="C212">
        <v>26</v>
      </c>
      <c r="D212" s="2" t="s">
        <v>359</v>
      </c>
      <c r="E212" s="2" t="s">
        <v>65</v>
      </c>
      <c r="F212" s="2" t="s">
        <v>65</v>
      </c>
      <c r="G212" s="2" t="s">
        <v>36</v>
      </c>
      <c r="H212" s="2" t="s">
        <v>132</v>
      </c>
      <c r="I212" s="2" t="s">
        <v>133</v>
      </c>
      <c r="J212" s="2" t="s">
        <v>334</v>
      </c>
      <c r="K212" t="b">
        <v>0</v>
      </c>
      <c r="L212" s="2" t="s">
        <v>130</v>
      </c>
    </row>
    <row r="213" spans="1:12" hidden="1" x14ac:dyDescent="0.3">
      <c r="A213" s="2" t="s">
        <v>8</v>
      </c>
      <c r="B213" s="2" t="s">
        <v>332</v>
      </c>
      <c r="C213">
        <v>27</v>
      </c>
      <c r="D213" s="2" t="s">
        <v>360</v>
      </c>
      <c r="E213" s="2" t="s">
        <v>63</v>
      </c>
      <c r="F213" s="2" t="s">
        <v>257</v>
      </c>
      <c r="G213" s="2" t="s">
        <v>36</v>
      </c>
      <c r="H213" s="2" t="s">
        <v>132</v>
      </c>
      <c r="I213" s="2" t="s">
        <v>133</v>
      </c>
      <c r="J213" s="2" t="s">
        <v>334</v>
      </c>
      <c r="K213" t="b">
        <v>1</v>
      </c>
      <c r="L213" s="2" t="s">
        <v>130</v>
      </c>
    </row>
    <row r="214" spans="1:12" hidden="1" x14ac:dyDescent="0.3">
      <c r="A214" s="2" t="s">
        <v>8</v>
      </c>
      <c r="B214" s="2" t="s">
        <v>332</v>
      </c>
      <c r="C214">
        <v>28</v>
      </c>
      <c r="D214" s="2" t="s">
        <v>361</v>
      </c>
      <c r="E214" s="2" t="s">
        <v>13</v>
      </c>
      <c r="F214" s="2" t="s">
        <v>13</v>
      </c>
      <c r="G214" s="2" t="s">
        <v>36</v>
      </c>
      <c r="H214" s="2" t="s">
        <v>132</v>
      </c>
      <c r="I214" s="2" t="s">
        <v>133</v>
      </c>
      <c r="J214" s="2" t="s">
        <v>334</v>
      </c>
      <c r="K214" t="b">
        <v>0</v>
      </c>
      <c r="L214" s="2" t="s">
        <v>130</v>
      </c>
    </row>
    <row r="215" spans="1:12" hidden="1" x14ac:dyDescent="0.3">
      <c r="A215" s="2" t="s">
        <v>8</v>
      </c>
      <c r="B215" s="2" t="s">
        <v>332</v>
      </c>
      <c r="C215">
        <v>29</v>
      </c>
      <c r="D215" s="2" t="s">
        <v>362</v>
      </c>
      <c r="E215" s="2" t="s">
        <v>72</v>
      </c>
      <c r="F215" s="2" t="s">
        <v>72</v>
      </c>
      <c r="G215" s="2" t="s">
        <v>36</v>
      </c>
      <c r="H215" s="2" t="s">
        <v>132</v>
      </c>
      <c r="I215" s="2" t="s">
        <v>133</v>
      </c>
      <c r="J215" s="2" t="s">
        <v>334</v>
      </c>
      <c r="K215" t="b">
        <v>0</v>
      </c>
      <c r="L215" s="2" t="s">
        <v>130</v>
      </c>
    </row>
    <row r="216" spans="1:12" hidden="1" x14ac:dyDescent="0.3">
      <c r="A216" s="2" t="s">
        <v>8</v>
      </c>
      <c r="B216" s="2" t="s">
        <v>332</v>
      </c>
      <c r="C216">
        <v>30</v>
      </c>
      <c r="D216" s="2" t="s">
        <v>363</v>
      </c>
      <c r="E216" s="2" t="s">
        <v>16</v>
      </c>
      <c r="F216" s="2" t="s">
        <v>155</v>
      </c>
      <c r="G216" s="2" t="s">
        <v>36</v>
      </c>
      <c r="H216" s="2" t="s">
        <v>132</v>
      </c>
      <c r="I216" s="2" t="s">
        <v>133</v>
      </c>
      <c r="J216" s="2" t="s">
        <v>334</v>
      </c>
      <c r="K216" t="b">
        <v>1</v>
      </c>
      <c r="L216" s="2" t="s">
        <v>130</v>
      </c>
    </row>
    <row r="217" spans="1:12" hidden="1" x14ac:dyDescent="0.3">
      <c r="A217" s="2" t="s">
        <v>8</v>
      </c>
      <c r="B217" s="2" t="s">
        <v>332</v>
      </c>
      <c r="C217">
        <v>31</v>
      </c>
      <c r="D217" s="2" t="s">
        <v>364</v>
      </c>
      <c r="E217" s="2" t="s">
        <v>18</v>
      </c>
      <c r="F217" s="2" t="s">
        <v>18</v>
      </c>
      <c r="G217" s="2" t="s">
        <v>36</v>
      </c>
      <c r="H217" s="2" t="s">
        <v>132</v>
      </c>
      <c r="I217" s="2" t="s">
        <v>133</v>
      </c>
      <c r="J217" s="2" t="s">
        <v>334</v>
      </c>
      <c r="K217" t="b">
        <v>0</v>
      </c>
      <c r="L217" s="2" t="s">
        <v>130</v>
      </c>
    </row>
    <row r="218" spans="1:12" hidden="1" x14ac:dyDescent="0.3">
      <c r="A218" s="2" t="s">
        <v>8</v>
      </c>
      <c r="B218" s="2" t="s">
        <v>332</v>
      </c>
      <c r="C218">
        <v>32</v>
      </c>
      <c r="D218" s="2" t="s">
        <v>365</v>
      </c>
      <c r="E218" s="2" t="s">
        <v>77</v>
      </c>
      <c r="F218" s="2" t="s">
        <v>77</v>
      </c>
      <c r="G218" s="2" t="s">
        <v>36</v>
      </c>
      <c r="H218" s="2" t="s">
        <v>132</v>
      </c>
      <c r="I218" s="2" t="s">
        <v>133</v>
      </c>
      <c r="J218" s="2" t="s">
        <v>334</v>
      </c>
      <c r="K218" t="b">
        <v>0</v>
      </c>
      <c r="L218" s="2" t="s">
        <v>130</v>
      </c>
    </row>
    <row r="219" spans="1:12" hidden="1" x14ac:dyDescent="0.3">
      <c r="A219" s="2" t="s">
        <v>8</v>
      </c>
      <c r="B219" s="2" t="s">
        <v>332</v>
      </c>
      <c r="C219">
        <v>33</v>
      </c>
      <c r="D219" s="2" t="s">
        <v>366</v>
      </c>
      <c r="E219" s="2" t="s">
        <v>81</v>
      </c>
      <c r="F219" s="2" t="s">
        <v>81</v>
      </c>
      <c r="G219" s="2" t="s">
        <v>124</v>
      </c>
      <c r="H219" s="2" t="s">
        <v>367</v>
      </c>
      <c r="I219" s="2" t="s">
        <v>133</v>
      </c>
      <c r="J219" s="2" t="s">
        <v>334</v>
      </c>
      <c r="K219" t="b">
        <v>0</v>
      </c>
      <c r="L219" s="2" t="s">
        <v>130</v>
      </c>
    </row>
    <row r="220" spans="1:12" hidden="1" x14ac:dyDescent="0.3">
      <c r="A220" s="2" t="s">
        <v>8</v>
      </c>
      <c r="B220" s="2" t="s">
        <v>332</v>
      </c>
      <c r="C220">
        <v>34</v>
      </c>
      <c r="D220" s="2" t="s">
        <v>368</v>
      </c>
      <c r="E220" s="2" t="s">
        <v>68</v>
      </c>
      <c r="F220" s="2" t="s">
        <v>68</v>
      </c>
      <c r="G220" s="2" t="s">
        <v>124</v>
      </c>
      <c r="H220" s="2" t="s">
        <v>367</v>
      </c>
      <c r="I220" s="2" t="s">
        <v>133</v>
      </c>
      <c r="J220" s="2" t="s">
        <v>334</v>
      </c>
      <c r="K220" t="b">
        <v>0</v>
      </c>
      <c r="L220" s="2" t="s">
        <v>130</v>
      </c>
    </row>
    <row r="221" spans="1:12" hidden="1" x14ac:dyDescent="0.3">
      <c r="A221" s="2" t="s">
        <v>8</v>
      </c>
      <c r="B221" s="2" t="s">
        <v>332</v>
      </c>
      <c r="C221">
        <v>35</v>
      </c>
      <c r="D221" s="2" t="s">
        <v>369</v>
      </c>
      <c r="E221" s="2" t="s">
        <v>82</v>
      </c>
      <c r="F221" s="2" t="s">
        <v>82</v>
      </c>
      <c r="G221" s="2" t="s">
        <v>124</v>
      </c>
      <c r="H221" s="2" t="s">
        <v>367</v>
      </c>
      <c r="I221" s="2" t="s">
        <v>133</v>
      </c>
      <c r="J221" s="2" t="s">
        <v>334</v>
      </c>
      <c r="K221" t="b">
        <v>0</v>
      </c>
      <c r="L221" s="2" t="s">
        <v>130</v>
      </c>
    </row>
    <row r="222" spans="1:12" hidden="1" x14ac:dyDescent="0.3">
      <c r="A222" s="2" t="s">
        <v>8</v>
      </c>
      <c r="B222" s="2" t="s">
        <v>332</v>
      </c>
      <c r="C222">
        <v>36</v>
      </c>
      <c r="D222" s="2" t="s">
        <v>370</v>
      </c>
      <c r="E222" s="2" t="s">
        <v>67</v>
      </c>
      <c r="F222" s="2" t="s">
        <v>67</v>
      </c>
      <c r="G222" s="2" t="s">
        <v>124</v>
      </c>
      <c r="H222" s="2" t="s">
        <v>367</v>
      </c>
      <c r="I222" s="2" t="s">
        <v>133</v>
      </c>
      <c r="J222" s="2" t="s">
        <v>334</v>
      </c>
      <c r="K222" t="b">
        <v>0</v>
      </c>
      <c r="L222" s="2" t="s">
        <v>130</v>
      </c>
    </row>
    <row r="223" spans="1:12" hidden="1" x14ac:dyDescent="0.3">
      <c r="A223" s="2" t="s">
        <v>8</v>
      </c>
      <c r="B223" s="2" t="s">
        <v>332</v>
      </c>
      <c r="C223">
        <v>37</v>
      </c>
      <c r="D223" s="2" t="s">
        <v>371</v>
      </c>
      <c r="E223" s="2" t="s">
        <v>83</v>
      </c>
      <c r="F223" s="2" t="s">
        <v>83</v>
      </c>
      <c r="G223" s="2" t="s">
        <v>124</v>
      </c>
      <c r="H223" s="2" t="s">
        <v>367</v>
      </c>
      <c r="I223" s="2" t="s">
        <v>133</v>
      </c>
      <c r="J223" s="2" t="s">
        <v>334</v>
      </c>
      <c r="K223" t="b">
        <v>0</v>
      </c>
      <c r="L223" s="2" t="s">
        <v>130</v>
      </c>
    </row>
    <row r="224" spans="1:12" hidden="1" x14ac:dyDescent="0.3">
      <c r="A224" s="2" t="s">
        <v>8</v>
      </c>
      <c r="B224" s="2" t="s">
        <v>332</v>
      </c>
      <c r="C224">
        <v>38</v>
      </c>
      <c r="D224" s="2" t="s">
        <v>372</v>
      </c>
      <c r="E224" s="2" t="s">
        <v>57</v>
      </c>
      <c r="F224" s="2" t="s">
        <v>57</v>
      </c>
      <c r="G224" s="2" t="s">
        <v>124</v>
      </c>
      <c r="H224" s="2" t="s">
        <v>367</v>
      </c>
      <c r="I224" s="2" t="s">
        <v>133</v>
      </c>
      <c r="J224" s="2" t="s">
        <v>334</v>
      </c>
      <c r="K224" t="b">
        <v>0</v>
      </c>
      <c r="L224" s="2" t="s">
        <v>130</v>
      </c>
    </row>
    <row r="225" spans="1:12" hidden="1" x14ac:dyDescent="0.3">
      <c r="A225" s="2" t="s">
        <v>8</v>
      </c>
      <c r="B225" s="2" t="s">
        <v>332</v>
      </c>
      <c r="C225">
        <v>39</v>
      </c>
      <c r="D225" s="2" t="s">
        <v>373</v>
      </c>
      <c r="E225" s="2" t="s">
        <v>64</v>
      </c>
      <c r="F225" s="2" t="s">
        <v>64</v>
      </c>
      <c r="G225" s="2" t="s">
        <v>124</v>
      </c>
      <c r="H225" s="2" t="s">
        <v>367</v>
      </c>
      <c r="I225" s="2" t="s">
        <v>133</v>
      </c>
      <c r="J225" s="2" t="s">
        <v>334</v>
      </c>
      <c r="K225" t="b">
        <v>0</v>
      </c>
      <c r="L225" s="2" t="s">
        <v>130</v>
      </c>
    </row>
    <row r="226" spans="1:12" hidden="1" x14ac:dyDescent="0.3">
      <c r="A226" s="2" t="s">
        <v>8</v>
      </c>
      <c r="B226" s="2" t="s">
        <v>332</v>
      </c>
      <c r="C226">
        <v>40</v>
      </c>
      <c r="D226" s="2" t="s">
        <v>374</v>
      </c>
      <c r="E226" s="2" t="s">
        <v>54</v>
      </c>
      <c r="F226" s="2" t="s">
        <v>54</v>
      </c>
      <c r="G226" s="2" t="s">
        <v>124</v>
      </c>
      <c r="H226" s="2" t="s">
        <v>367</v>
      </c>
      <c r="I226" s="2" t="s">
        <v>133</v>
      </c>
      <c r="J226" s="2" t="s">
        <v>334</v>
      </c>
      <c r="K226" t="b">
        <v>0</v>
      </c>
      <c r="L226" s="2" t="s">
        <v>130</v>
      </c>
    </row>
    <row r="227" spans="1:12" hidden="1" x14ac:dyDescent="0.3">
      <c r="A227" s="2" t="s">
        <v>8</v>
      </c>
      <c r="B227" s="2" t="s">
        <v>332</v>
      </c>
      <c r="C227">
        <v>41</v>
      </c>
      <c r="D227" s="2" t="s">
        <v>375</v>
      </c>
      <c r="E227" s="2" t="s">
        <v>84</v>
      </c>
      <c r="F227" s="2" t="s">
        <v>84</v>
      </c>
      <c r="G227" s="2" t="s">
        <v>124</v>
      </c>
      <c r="H227" s="2" t="s">
        <v>367</v>
      </c>
      <c r="I227" s="2" t="s">
        <v>133</v>
      </c>
      <c r="J227" s="2" t="s">
        <v>334</v>
      </c>
      <c r="K227" t="b">
        <v>0</v>
      </c>
      <c r="L227" s="2" t="s">
        <v>130</v>
      </c>
    </row>
    <row r="228" spans="1:12" hidden="1" x14ac:dyDescent="0.3">
      <c r="A228" s="2" t="s">
        <v>8</v>
      </c>
      <c r="B228" s="2" t="s">
        <v>332</v>
      </c>
      <c r="C228">
        <v>42</v>
      </c>
      <c r="D228" s="2" t="s">
        <v>376</v>
      </c>
      <c r="E228" s="2" t="s">
        <v>69</v>
      </c>
      <c r="F228" s="2" t="s">
        <v>69</v>
      </c>
      <c r="G228" s="2" t="s">
        <v>124</v>
      </c>
      <c r="H228" s="2" t="s">
        <v>367</v>
      </c>
      <c r="I228" s="2" t="s">
        <v>133</v>
      </c>
      <c r="J228" s="2" t="s">
        <v>334</v>
      </c>
      <c r="K228" t="b">
        <v>0</v>
      </c>
      <c r="L228" s="2" t="s">
        <v>130</v>
      </c>
    </row>
    <row r="229" spans="1:12" hidden="1" x14ac:dyDescent="0.3">
      <c r="A229" s="2" t="s">
        <v>8</v>
      </c>
      <c r="B229" s="2" t="s">
        <v>332</v>
      </c>
      <c r="C229">
        <v>43</v>
      </c>
      <c r="D229" s="2" t="s">
        <v>377</v>
      </c>
      <c r="E229" s="2" t="s">
        <v>119</v>
      </c>
      <c r="F229" s="2" t="s">
        <v>119</v>
      </c>
      <c r="G229" s="2" t="s">
        <v>38</v>
      </c>
      <c r="H229" s="2" t="s">
        <v>158</v>
      </c>
      <c r="I229" s="2" t="s">
        <v>133</v>
      </c>
      <c r="J229" s="2" t="s">
        <v>334</v>
      </c>
      <c r="K229" t="b">
        <v>0</v>
      </c>
      <c r="L229" s="2" t="s">
        <v>130</v>
      </c>
    </row>
    <row r="230" spans="1:12" hidden="1" x14ac:dyDescent="0.3">
      <c r="A230" s="2" t="s">
        <v>8</v>
      </c>
      <c r="B230" s="2" t="s">
        <v>332</v>
      </c>
      <c r="C230">
        <v>44</v>
      </c>
      <c r="D230" s="2" t="s">
        <v>378</v>
      </c>
      <c r="E230" s="2" t="s">
        <v>49</v>
      </c>
      <c r="F230" s="2" t="s">
        <v>49</v>
      </c>
      <c r="G230" s="2" t="s">
        <v>38</v>
      </c>
      <c r="H230" s="2" t="s">
        <v>158</v>
      </c>
      <c r="I230" s="2" t="s">
        <v>133</v>
      </c>
      <c r="J230" s="2" t="s">
        <v>334</v>
      </c>
      <c r="K230" t="b">
        <v>0</v>
      </c>
      <c r="L230" s="2" t="s">
        <v>130</v>
      </c>
    </row>
    <row r="231" spans="1:12" hidden="1" x14ac:dyDescent="0.3">
      <c r="A231" s="2" t="s">
        <v>8</v>
      </c>
      <c r="B231" s="2" t="s">
        <v>332</v>
      </c>
      <c r="C231">
        <v>45</v>
      </c>
      <c r="D231" s="2" t="s">
        <v>379</v>
      </c>
      <c r="E231" s="2" t="s">
        <v>37</v>
      </c>
      <c r="F231" s="2" t="s">
        <v>37</v>
      </c>
      <c r="G231" s="2" t="s">
        <v>38</v>
      </c>
      <c r="H231" s="2" t="s">
        <v>158</v>
      </c>
      <c r="I231" s="2" t="s">
        <v>133</v>
      </c>
      <c r="J231" s="2" t="s">
        <v>334</v>
      </c>
      <c r="K231" t="b">
        <v>0</v>
      </c>
      <c r="L231" s="2" t="s">
        <v>130</v>
      </c>
    </row>
    <row r="232" spans="1:12" hidden="1" x14ac:dyDescent="0.3">
      <c r="A232" s="2" t="s">
        <v>8</v>
      </c>
      <c r="B232" s="2" t="s">
        <v>332</v>
      </c>
      <c r="C232">
        <v>46</v>
      </c>
      <c r="D232" s="2" t="s">
        <v>380</v>
      </c>
      <c r="E232" s="2" t="s">
        <v>40</v>
      </c>
      <c r="F232" s="2" t="s">
        <v>40</v>
      </c>
      <c r="G232" s="2" t="s">
        <v>38</v>
      </c>
      <c r="H232" s="2" t="s">
        <v>158</v>
      </c>
      <c r="I232" s="2" t="s">
        <v>133</v>
      </c>
      <c r="J232" s="2" t="s">
        <v>334</v>
      </c>
      <c r="K232" t="b">
        <v>0</v>
      </c>
      <c r="L232" s="2" t="s">
        <v>130</v>
      </c>
    </row>
    <row r="233" spans="1:12" hidden="1" x14ac:dyDescent="0.3">
      <c r="A233" s="2" t="s">
        <v>8</v>
      </c>
      <c r="B233" s="2" t="s">
        <v>332</v>
      </c>
      <c r="C233">
        <v>47</v>
      </c>
      <c r="D233" s="2" t="s">
        <v>381</v>
      </c>
      <c r="E233" s="2" t="s">
        <v>41</v>
      </c>
      <c r="F233" s="2" t="s">
        <v>41</v>
      </c>
      <c r="G233" s="2" t="s">
        <v>38</v>
      </c>
      <c r="H233" s="2" t="s">
        <v>158</v>
      </c>
      <c r="I233" s="2" t="s">
        <v>133</v>
      </c>
      <c r="J233" s="2" t="s">
        <v>334</v>
      </c>
      <c r="K233" t="b">
        <v>0</v>
      </c>
      <c r="L233" s="2" t="s">
        <v>130</v>
      </c>
    </row>
    <row r="234" spans="1:12" hidden="1" x14ac:dyDescent="0.3">
      <c r="A234" s="2" t="s">
        <v>8</v>
      </c>
      <c r="B234" s="2" t="s">
        <v>332</v>
      </c>
      <c r="C234">
        <v>48</v>
      </c>
      <c r="D234" s="2" t="s">
        <v>382</v>
      </c>
      <c r="E234" s="2" t="s">
        <v>120</v>
      </c>
      <c r="F234" s="2" t="s">
        <v>120</v>
      </c>
      <c r="G234" s="2" t="s">
        <v>38</v>
      </c>
      <c r="H234" s="2" t="s">
        <v>158</v>
      </c>
      <c r="I234" s="2" t="s">
        <v>133</v>
      </c>
      <c r="J234" s="2" t="s">
        <v>334</v>
      </c>
      <c r="K234" t="b">
        <v>0</v>
      </c>
      <c r="L234" s="2" t="s">
        <v>130</v>
      </c>
    </row>
    <row r="235" spans="1:12" hidden="1" x14ac:dyDescent="0.3">
      <c r="A235" s="2" t="s">
        <v>8</v>
      </c>
      <c r="B235" s="2" t="s">
        <v>332</v>
      </c>
      <c r="C235">
        <v>49</v>
      </c>
      <c r="D235" s="2" t="s">
        <v>383</v>
      </c>
      <c r="E235" s="2" t="s">
        <v>39</v>
      </c>
      <c r="F235" s="2" t="s">
        <v>39</v>
      </c>
      <c r="G235" s="2" t="s">
        <v>38</v>
      </c>
      <c r="H235" s="2" t="s">
        <v>158</v>
      </c>
      <c r="I235" s="2" t="s">
        <v>133</v>
      </c>
      <c r="J235" s="2" t="s">
        <v>334</v>
      </c>
      <c r="K235" t="b">
        <v>0</v>
      </c>
      <c r="L235" s="2" t="s">
        <v>130</v>
      </c>
    </row>
    <row r="236" spans="1:12" hidden="1" x14ac:dyDescent="0.3">
      <c r="A236" s="2" t="s">
        <v>8</v>
      </c>
      <c r="B236" s="2" t="s">
        <v>332</v>
      </c>
      <c r="C236">
        <v>50</v>
      </c>
      <c r="D236" s="2" t="s">
        <v>384</v>
      </c>
      <c r="E236" s="2" t="s">
        <v>123</v>
      </c>
      <c r="F236" s="2" t="s">
        <v>123</v>
      </c>
      <c r="G236" s="2" t="s">
        <v>118</v>
      </c>
      <c r="H236" s="2" t="s">
        <v>274</v>
      </c>
      <c r="I236" s="2" t="s">
        <v>133</v>
      </c>
      <c r="J236" s="2" t="s">
        <v>334</v>
      </c>
      <c r="K236" t="b">
        <v>0</v>
      </c>
      <c r="L236" s="2" t="s">
        <v>130</v>
      </c>
    </row>
    <row r="237" spans="1:12" hidden="1" x14ac:dyDescent="0.3">
      <c r="A237" s="2" t="s">
        <v>8</v>
      </c>
      <c r="B237" s="2" t="s">
        <v>332</v>
      </c>
      <c r="C237">
        <v>51</v>
      </c>
      <c r="D237" s="2" t="s">
        <v>385</v>
      </c>
      <c r="E237" s="2" t="s">
        <v>115</v>
      </c>
      <c r="F237" s="2" t="s">
        <v>115</v>
      </c>
      <c r="G237" s="2" t="s">
        <v>118</v>
      </c>
      <c r="H237" s="2" t="s">
        <v>274</v>
      </c>
      <c r="I237" s="2" t="s">
        <v>133</v>
      </c>
      <c r="J237" s="2" t="s">
        <v>334</v>
      </c>
      <c r="K237" t="b">
        <v>0</v>
      </c>
      <c r="L237" s="2" t="s">
        <v>130</v>
      </c>
    </row>
    <row r="238" spans="1:12" hidden="1" x14ac:dyDescent="0.3">
      <c r="A238" s="2" t="s">
        <v>8</v>
      </c>
      <c r="B238" s="2" t="s">
        <v>332</v>
      </c>
      <c r="C238">
        <v>52</v>
      </c>
      <c r="D238" s="2" t="s">
        <v>386</v>
      </c>
      <c r="E238" s="2" t="s">
        <v>116</v>
      </c>
      <c r="F238" s="2" t="s">
        <v>116</v>
      </c>
      <c r="G238" s="2" t="s">
        <v>118</v>
      </c>
      <c r="H238" s="2" t="s">
        <v>274</v>
      </c>
      <c r="I238" s="2" t="s">
        <v>133</v>
      </c>
      <c r="J238" s="2" t="s">
        <v>334</v>
      </c>
      <c r="K238" t="b">
        <v>0</v>
      </c>
      <c r="L238" s="2" t="s">
        <v>130</v>
      </c>
    </row>
    <row r="239" spans="1:12" hidden="1" x14ac:dyDescent="0.3">
      <c r="A239" s="2" t="s">
        <v>8</v>
      </c>
      <c r="B239" s="2" t="s">
        <v>332</v>
      </c>
      <c r="C239">
        <v>53</v>
      </c>
      <c r="D239" s="2" t="s">
        <v>387</v>
      </c>
      <c r="E239" s="2" t="s">
        <v>117</v>
      </c>
      <c r="F239" s="2" t="s">
        <v>117</v>
      </c>
      <c r="G239" s="2" t="s">
        <v>118</v>
      </c>
      <c r="H239" s="2" t="s">
        <v>274</v>
      </c>
      <c r="I239" s="2" t="s">
        <v>133</v>
      </c>
      <c r="J239" s="2" t="s">
        <v>334</v>
      </c>
      <c r="K239" t="b">
        <v>0</v>
      </c>
      <c r="L239" s="2" t="s">
        <v>130</v>
      </c>
    </row>
    <row r="240" spans="1:12" hidden="1" x14ac:dyDescent="0.3">
      <c r="A240" s="2" t="s">
        <v>8</v>
      </c>
      <c r="B240" s="2" t="s">
        <v>332</v>
      </c>
      <c r="C240">
        <v>54</v>
      </c>
      <c r="D240" s="2" t="s">
        <v>388</v>
      </c>
      <c r="E240" s="2" t="s">
        <v>127</v>
      </c>
      <c r="F240" s="2" t="s">
        <v>127</v>
      </c>
      <c r="G240" s="2" t="s">
        <v>85</v>
      </c>
      <c r="H240" s="2" t="s">
        <v>279</v>
      </c>
      <c r="I240" s="2" t="s">
        <v>133</v>
      </c>
      <c r="J240" s="2" t="s">
        <v>334</v>
      </c>
      <c r="K240" t="b">
        <v>0</v>
      </c>
      <c r="L240" s="2" t="s">
        <v>130</v>
      </c>
    </row>
    <row r="241" spans="1:12" hidden="1" x14ac:dyDescent="0.3">
      <c r="A241" s="2" t="s">
        <v>8</v>
      </c>
      <c r="B241" s="2" t="s">
        <v>332</v>
      </c>
      <c r="C241">
        <v>55</v>
      </c>
      <c r="D241" s="2" t="s">
        <v>389</v>
      </c>
      <c r="E241" s="2" t="s">
        <v>128</v>
      </c>
      <c r="F241" s="2" t="s">
        <v>128</v>
      </c>
      <c r="G241" s="2" t="s">
        <v>85</v>
      </c>
      <c r="H241" s="2" t="s">
        <v>279</v>
      </c>
      <c r="I241" s="2" t="s">
        <v>133</v>
      </c>
      <c r="J241" s="2" t="s">
        <v>334</v>
      </c>
      <c r="K241" t="b">
        <v>0</v>
      </c>
      <c r="L241" s="2" t="s">
        <v>130</v>
      </c>
    </row>
    <row r="242" spans="1:12" hidden="1" x14ac:dyDescent="0.3">
      <c r="A242" s="2" t="s">
        <v>8</v>
      </c>
      <c r="B242" s="2" t="s">
        <v>332</v>
      </c>
      <c r="C242">
        <v>56</v>
      </c>
      <c r="D242" s="2" t="s">
        <v>390</v>
      </c>
      <c r="E242" s="2" t="s">
        <v>125</v>
      </c>
      <c r="F242" s="2" t="s">
        <v>125</v>
      </c>
      <c r="G242" s="2" t="s">
        <v>85</v>
      </c>
      <c r="H242" s="2" t="s">
        <v>279</v>
      </c>
      <c r="I242" s="2" t="s">
        <v>133</v>
      </c>
      <c r="J242" s="2" t="s">
        <v>334</v>
      </c>
      <c r="K242" t="b">
        <v>0</v>
      </c>
      <c r="L242" s="2" t="s">
        <v>130</v>
      </c>
    </row>
    <row r="243" spans="1:12" hidden="1" x14ac:dyDescent="0.3">
      <c r="A243" s="2" t="s">
        <v>8</v>
      </c>
      <c r="B243" s="2" t="s">
        <v>332</v>
      </c>
      <c r="C243">
        <v>57</v>
      </c>
      <c r="D243" s="2" t="s">
        <v>391</v>
      </c>
      <c r="E243" s="2" t="s">
        <v>126</v>
      </c>
      <c r="F243" s="2" t="s">
        <v>126</v>
      </c>
      <c r="G243" s="2" t="s">
        <v>85</v>
      </c>
      <c r="H243" s="2" t="s">
        <v>279</v>
      </c>
      <c r="I243" s="2" t="s">
        <v>133</v>
      </c>
      <c r="J243" s="2" t="s">
        <v>334</v>
      </c>
      <c r="K243" t="b">
        <v>0</v>
      </c>
      <c r="L243" s="2" t="s">
        <v>130</v>
      </c>
    </row>
    <row r="244" spans="1:12" hidden="1" x14ac:dyDescent="0.3">
      <c r="A244" s="2" t="s">
        <v>8</v>
      </c>
      <c r="B244" s="2" t="s">
        <v>332</v>
      </c>
      <c r="C244">
        <v>58</v>
      </c>
      <c r="D244" s="2" t="s">
        <v>392</v>
      </c>
      <c r="E244" s="2" t="s">
        <v>129</v>
      </c>
      <c r="F244" s="2" t="s">
        <v>129</v>
      </c>
      <c r="G244" s="2" t="s">
        <v>85</v>
      </c>
      <c r="H244" s="2" t="s">
        <v>279</v>
      </c>
      <c r="I244" s="2" t="s">
        <v>133</v>
      </c>
      <c r="J244" s="2" t="s">
        <v>334</v>
      </c>
      <c r="K244" t="b">
        <v>0</v>
      </c>
      <c r="L244" s="2" t="s">
        <v>130</v>
      </c>
    </row>
    <row r="245" spans="1:12" hidden="1" x14ac:dyDescent="0.3">
      <c r="A245" s="2" t="s">
        <v>8</v>
      </c>
      <c r="B245" s="2" t="s">
        <v>332</v>
      </c>
      <c r="C245">
        <v>59</v>
      </c>
      <c r="D245" s="2" t="s">
        <v>393</v>
      </c>
      <c r="E245" s="2" t="s">
        <v>94</v>
      </c>
      <c r="F245" s="2" t="s">
        <v>94</v>
      </c>
      <c r="G245" s="2" t="s">
        <v>108</v>
      </c>
      <c r="H245" s="2" t="s">
        <v>289</v>
      </c>
      <c r="I245" s="2" t="s">
        <v>133</v>
      </c>
      <c r="J245" s="2" t="s">
        <v>334</v>
      </c>
      <c r="K245" t="b">
        <v>0</v>
      </c>
      <c r="L245" s="2" t="s">
        <v>130</v>
      </c>
    </row>
    <row r="246" spans="1:12" hidden="1" x14ac:dyDescent="0.3">
      <c r="A246" s="2" t="s">
        <v>8</v>
      </c>
      <c r="B246" s="2" t="s">
        <v>332</v>
      </c>
      <c r="C246">
        <v>60</v>
      </c>
      <c r="D246" s="2" t="s">
        <v>394</v>
      </c>
      <c r="E246" s="2" t="s">
        <v>95</v>
      </c>
      <c r="F246" s="2" t="s">
        <v>95</v>
      </c>
      <c r="G246" s="2" t="s">
        <v>108</v>
      </c>
      <c r="H246" s="2" t="s">
        <v>289</v>
      </c>
      <c r="I246" s="2" t="s">
        <v>133</v>
      </c>
      <c r="J246" s="2" t="s">
        <v>334</v>
      </c>
      <c r="K246" t="b">
        <v>0</v>
      </c>
      <c r="L246" s="2" t="s">
        <v>130</v>
      </c>
    </row>
    <row r="247" spans="1:12" hidden="1" x14ac:dyDescent="0.3">
      <c r="A247" s="2" t="s">
        <v>8</v>
      </c>
      <c r="B247" s="2" t="s">
        <v>332</v>
      </c>
      <c r="C247">
        <v>61</v>
      </c>
      <c r="D247" s="2" t="s">
        <v>395</v>
      </c>
      <c r="E247" s="2" t="s">
        <v>96</v>
      </c>
      <c r="F247" s="2" t="s">
        <v>96</v>
      </c>
      <c r="G247" s="2" t="s">
        <v>108</v>
      </c>
      <c r="H247" s="2" t="s">
        <v>289</v>
      </c>
      <c r="I247" s="2" t="s">
        <v>133</v>
      </c>
      <c r="J247" s="2" t="s">
        <v>334</v>
      </c>
      <c r="K247" t="b">
        <v>0</v>
      </c>
      <c r="L247" s="2" t="s">
        <v>130</v>
      </c>
    </row>
    <row r="248" spans="1:12" hidden="1" x14ac:dyDescent="0.3">
      <c r="A248" s="2" t="s">
        <v>8</v>
      </c>
      <c r="B248" s="2" t="s">
        <v>332</v>
      </c>
      <c r="C248">
        <v>62</v>
      </c>
      <c r="D248" s="2" t="s">
        <v>396</v>
      </c>
      <c r="E248" s="2" t="s">
        <v>86</v>
      </c>
      <c r="F248" s="2" t="s">
        <v>86</v>
      </c>
      <c r="G248" s="2" t="s">
        <v>108</v>
      </c>
      <c r="H248" s="2" t="s">
        <v>289</v>
      </c>
      <c r="I248" s="2" t="s">
        <v>133</v>
      </c>
      <c r="J248" s="2" t="s">
        <v>334</v>
      </c>
      <c r="K248" t="b">
        <v>0</v>
      </c>
      <c r="L248" s="2" t="s">
        <v>130</v>
      </c>
    </row>
    <row r="249" spans="1:12" hidden="1" x14ac:dyDescent="0.3">
      <c r="A249" s="2" t="s">
        <v>8</v>
      </c>
      <c r="B249" s="2" t="s">
        <v>332</v>
      </c>
      <c r="C249">
        <v>63</v>
      </c>
      <c r="D249" s="2" t="s">
        <v>397</v>
      </c>
      <c r="E249" s="2" t="s">
        <v>87</v>
      </c>
      <c r="F249" s="2" t="s">
        <v>87</v>
      </c>
      <c r="G249" s="2" t="s">
        <v>108</v>
      </c>
      <c r="H249" s="2" t="s">
        <v>289</v>
      </c>
      <c r="I249" s="2" t="s">
        <v>133</v>
      </c>
      <c r="J249" s="2" t="s">
        <v>334</v>
      </c>
      <c r="K249" t="b">
        <v>0</v>
      </c>
      <c r="L249" s="2" t="s">
        <v>130</v>
      </c>
    </row>
    <row r="250" spans="1:12" hidden="1" x14ac:dyDescent="0.3">
      <c r="A250" s="2" t="s">
        <v>8</v>
      </c>
      <c r="B250" s="2" t="s">
        <v>332</v>
      </c>
      <c r="C250">
        <v>64</v>
      </c>
      <c r="D250" s="2" t="s">
        <v>398</v>
      </c>
      <c r="E250" s="2" t="s">
        <v>97</v>
      </c>
      <c r="F250" s="2" t="s">
        <v>97</v>
      </c>
      <c r="G250" s="2" t="s">
        <v>108</v>
      </c>
      <c r="H250" s="2" t="s">
        <v>289</v>
      </c>
      <c r="I250" s="2" t="s">
        <v>133</v>
      </c>
      <c r="J250" s="2" t="s">
        <v>334</v>
      </c>
      <c r="K250" t="b">
        <v>0</v>
      </c>
      <c r="L250" s="2" t="s">
        <v>130</v>
      </c>
    </row>
    <row r="251" spans="1:12" hidden="1" x14ac:dyDescent="0.3">
      <c r="A251" s="2" t="s">
        <v>8</v>
      </c>
      <c r="B251" s="2" t="s">
        <v>332</v>
      </c>
      <c r="C251">
        <v>65</v>
      </c>
      <c r="D251" s="2" t="s">
        <v>399</v>
      </c>
      <c r="E251" s="2" t="s">
        <v>98</v>
      </c>
      <c r="F251" s="2" t="s">
        <v>98</v>
      </c>
      <c r="G251" s="2" t="s">
        <v>108</v>
      </c>
      <c r="H251" s="2" t="s">
        <v>289</v>
      </c>
      <c r="I251" s="2" t="s">
        <v>133</v>
      </c>
      <c r="J251" s="2" t="s">
        <v>334</v>
      </c>
      <c r="K251" t="b">
        <v>0</v>
      </c>
      <c r="L251" s="2" t="s">
        <v>130</v>
      </c>
    </row>
    <row r="252" spans="1:12" hidden="1" x14ac:dyDescent="0.3">
      <c r="A252" s="2" t="s">
        <v>8</v>
      </c>
      <c r="B252" s="2" t="s">
        <v>332</v>
      </c>
      <c r="C252">
        <v>66</v>
      </c>
      <c r="D252" s="2" t="s">
        <v>400</v>
      </c>
      <c r="E252" s="2" t="s">
        <v>88</v>
      </c>
      <c r="F252" s="2" t="s">
        <v>88</v>
      </c>
      <c r="G252" s="2" t="s">
        <v>108</v>
      </c>
      <c r="H252" s="2" t="s">
        <v>289</v>
      </c>
      <c r="I252" s="2" t="s">
        <v>133</v>
      </c>
      <c r="J252" s="2" t="s">
        <v>334</v>
      </c>
      <c r="K252" t="b">
        <v>0</v>
      </c>
      <c r="L252" s="2" t="s">
        <v>130</v>
      </c>
    </row>
    <row r="253" spans="1:12" hidden="1" x14ac:dyDescent="0.3">
      <c r="A253" s="2" t="s">
        <v>8</v>
      </c>
      <c r="B253" s="2" t="s">
        <v>332</v>
      </c>
      <c r="C253">
        <v>67</v>
      </c>
      <c r="D253" s="2" t="s">
        <v>401</v>
      </c>
      <c r="E253" s="2" t="s">
        <v>89</v>
      </c>
      <c r="F253" s="2" t="s">
        <v>89</v>
      </c>
      <c r="G253" s="2" t="s">
        <v>108</v>
      </c>
      <c r="H253" s="2" t="s">
        <v>289</v>
      </c>
      <c r="I253" s="2" t="s">
        <v>133</v>
      </c>
      <c r="J253" s="2" t="s">
        <v>334</v>
      </c>
      <c r="K253" t="b">
        <v>0</v>
      </c>
      <c r="L253" s="2" t="s">
        <v>130</v>
      </c>
    </row>
    <row r="254" spans="1:12" hidden="1" x14ac:dyDescent="0.3">
      <c r="A254" s="2" t="s">
        <v>8</v>
      </c>
      <c r="B254" s="2" t="s">
        <v>332</v>
      </c>
      <c r="C254">
        <v>68</v>
      </c>
      <c r="D254" s="2" t="s">
        <v>402</v>
      </c>
      <c r="E254" s="2" t="s">
        <v>89</v>
      </c>
      <c r="F254" s="2" t="s">
        <v>89</v>
      </c>
      <c r="G254" s="2" t="s">
        <v>108</v>
      </c>
      <c r="H254" s="2" t="s">
        <v>289</v>
      </c>
      <c r="I254" s="2" t="s">
        <v>133</v>
      </c>
      <c r="J254" s="2" t="s">
        <v>334</v>
      </c>
      <c r="K254" t="b">
        <v>0</v>
      </c>
      <c r="L254" s="2" t="s">
        <v>130</v>
      </c>
    </row>
    <row r="255" spans="1:12" hidden="1" x14ac:dyDescent="0.3">
      <c r="A255" s="2" t="s">
        <v>8</v>
      </c>
      <c r="B255" s="2" t="s">
        <v>332</v>
      </c>
      <c r="C255">
        <v>69</v>
      </c>
      <c r="D255" s="2" t="s">
        <v>403</v>
      </c>
      <c r="E255" s="2" t="s">
        <v>100</v>
      </c>
      <c r="F255" s="2" t="s">
        <v>100</v>
      </c>
      <c r="G255" s="2" t="s">
        <v>108</v>
      </c>
      <c r="H255" s="2" t="s">
        <v>289</v>
      </c>
      <c r="I255" s="2" t="s">
        <v>133</v>
      </c>
      <c r="J255" s="2" t="s">
        <v>334</v>
      </c>
      <c r="K255" t="b">
        <v>0</v>
      </c>
      <c r="L255" s="2" t="s">
        <v>130</v>
      </c>
    </row>
    <row r="256" spans="1:12" hidden="1" x14ac:dyDescent="0.3">
      <c r="A256" s="2" t="s">
        <v>8</v>
      </c>
      <c r="B256" s="2" t="s">
        <v>332</v>
      </c>
      <c r="C256">
        <v>70</v>
      </c>
      <c r="D256" s="2" t="s">
        <v>404</v>
      </c>
      <c r="E256" s="2" t="s">
        <v>99</v>
      </c>
      <c r="F256" s="2" t="s">
        <v>99</v>
      </c>
      <c r="G256" s="2" t="s">
        <v>108</v>
      </c>
      <c r="H256" s="2" t="s">
        <v>289</v>
      </c>
      <c r="I256" s="2" t="s">
        <v>133</v>
      </c>
      <c r="J256" s="2" t="s">
        <v>334</v>
      </c>
      <c r="K256" t="b">
        <v>0</v>
      </c>
      <c r="L256" s="2" t="s">
        <v>130</v>
      </c>
    </row>
    <row r="257" spans="1:12" hidden="1" x14ac:dyDescent="0.3">
      <c r="A257" s="2" t="s">
        <v>8</v>
      </c>
      <c r="B257" s="2" t="s">
        <v>332</v>
      </c>
      <c r="C257">
        <v>71</v>
      </c>
      <c r="D257" s="2" t="s">
        <v>405</v>
      </c>
      <c r="E257" s="2" t="s">
        <v>90</v>
      </c>
      <c r="F257" s="2" t="s">
        <v>90</v>
      </c>
      <c r="G257" s="2" t="s">
        <v>108</v>
      </c>
      <c r="H257" s="2" t="s">
        <v>289</v>
      </c>
      <c r="I257" s="2" t="s">
        <v>133</v>
      </c>
      <c r="J257" s="2" t="s">
        <v>334</v>
      </c>
      <c r="K257" t="b">
        <v>0</v>
      </c>
      <c r="L257" s="2" t="s">
        <v>130</v>
      </c>
    </row>
    <row r="258" spans="1:12" hidden="1" x14ac:dyDescent="0.3">
      <c r="A258" s="2" t="s">
        <v>8</v>
      </c>
      <c r="B258" s="2" t="s">
        <v>332</v>
      </c>
      <c r="C258">
        <v>72</v>
      </c>
      <c r="D258" s="2" t="s">
        <v>406</v>
      </c>
      <c r="E258" s="2" t="s">
        <v>101</v>
      </c>
      <c r="F258" s="2" t="s">
        <v>101</v>
      </c>
      <c r="G258" s="2" t="s">
        <v>108</v>
      </c>
      <c r="H258" s="2" t="s">
        <v>289</v>
      </c>
      <c r="I258" s="2" t="s">
        <v>133</v>
      </c>
      <c r="J258" s="2" t="s">
        <v>334</v>
      </c>
      <c r="K258" t="b">
        <v>0</v>
      </c>
      <c r="L258" s="2" t="s">
        <v>130</v>
      </c>
    </row>
    <row r="259" spans="1:12" hidden="1" x14ac:dyDescent="0.3">
      <c r="A259" s="2" t="s">
        <v>8</v>
      </c>
      <c r="B259" s="2" t="s">
        <v>332</v>
      </c>
      <c r="C259">
        <v>73</v>
      </c>
      <c r="D259" s="2" t="s">
        <v>407</v>
      </c>
      <c r="E259" s="2" t="s">
        <v>102</v>
      </c>
      <c r="F259" s="2" t="s">
        <v>102</v>
      </c>
      <c r="G259" s="2" t="s">
        <v>108</v>
      </c>
      <c r="H259" s="2" t="s">
        <v>289</v>
      </c>
      <c r="I259" s="2" t="s">
        <v>133</v>
      </c>
      <c r="J259" s="2" t="s">
        <v>334</v>
      </c>
      <c r="K259" t="b">
        <v>0</v>
      </c>
      <c r="L259" s="2" t="s">
        <v>130</v>
      </c>
    </row>
    <row r="260" spans="1:12" hidden="1" x14ac:dyDescent="0.3">
      <c r="A260" s="2" t="s">
        <v>8</v>
      </c>
      <c r="B260" s="2" t="s">
        <v>332</v>
      </c>
      <c r="C260">
        <v>74</v>
      </c>
      <c r="D260" s="2" t="s">
        <v>408</v>
      </c>
      <c r="E260" s="2" t="s">
        <v>103</v>
      </c>
      <c r="F260" s="2" t="s">
        <v>103</v>
      </c>
      <c r="G260" s="2" t="s">
        <v>108</v>
      </c>
      <c r="H260" s="2" t="s">
        <v>289</v>
      </c>
      <c r="I260" s="2" t="s">
        <v>133</v>
      </c>
      <c r="J260" s="2" t="s">
        <v>334</v>
      </c>
      <c r="K260" t="b">
        <v>0</v>
      </c>
      <c r="L260" s="2" t="s">
        <v>130</v>
      </c>
    </row>
    <row r="261" spans="1:12" hidden="1" x14ac:dyDescent="0.3">
      <c r="A261" s="2" t="s">
        <v>8</v>
      </c>
      <c r="B261" s="2" t="s">
        <v>332</v>
      </c>
      <c r="C261">
        <v>75</v>
      </c>
      <c r="D261" s="2" t="s">
        <v>409</v>
      </c>
      <c r="E261" s="2" t="s">
        <v>104</v>
      </c>
      <c r="F261" s="2" t="s">
        <v>104</v>
      </c>
      <c r="G261" s="2" t="s">
        <v>108</v>
      </c>
      <c r="H261" s="2" t="s">
        <v>289</v>
      </c>
      <c r="I261" s="2" t="s">
        <v>133</v>
      </c>
      <c r="J261" s="2" t="s">
        <v>334</v>
      </c>
      <c r="K261" t="b">
        <v>0</v>
      </c>
      <c r="L261" s="2" t="s">
        <v>130</v>
      </c>
    </row>
    <row r="262" spans="1:12" hidden="1" x14ac:dyDescent="0.3">
      <c r="A262" s="2" t="s">
        <v>8</v>
      </c>
      <c r="B262" s="2" t="s">
        <v>332</v>
      </c>
      <c r="C262">
        <v>76</v>
      </c>
      <c r="D262" s="2" t="s">
        <v>410</v>
      </c>
      <c r="E262" s="2" t="s">
        <v>105</v>
      </c>
      <c r="F262" s="2" t="s">
        <v>105</v>
      </c>
      <c r="G262" s="2" t="s">
        <v>108</v>
      </c>
      <c r="H262" s="2" t="s">
        <v>289</v>
      </c>
      <c r="I262" s="2" t="s">
        <v>133</v>
      </c>
      <c r="J262" s="2" t="s">
        <v>334</v>
      </c>
      <c r="K262" t="b">
        <v>0</v>
      </c>
      <c r="L262" s="2" t="s">
        <v>130</v>
      </c>
    </row>
    <row r="263" spans="1:12" hidden="1" x14ac:dyDescent="0.3">
      <c r="A263" s="2" t="s">
        <v>8</v>
      </c>
      <c r="B263" s="2" t="s">
        <v>332</v>
      </c>
      <c r="C263">
        <v>77</v>
      </c>
      <c r="D263" s="2" t="s">
        <v>411</v>
      </c>
      <c r="E263" s="2" t="s">
        <v>91</v>
      </c>
      <c r="F263" s="2" t="s">
        <v>91</v>
      </c>
      <c r="G263" s="2" t="s">
        <v>108</v>
      </c>
      <c r="H263" s="2" t="s">
        <v>289</v>
      </c>
      <c r="I263" s="2" t="s">
        <v>133</v>
      </c>
      <c r="J263" s="2" t="s">
        <v>334</v>
      </c>
      <c r="K263" t="b">
        <v>0</v>
      </c>
      <c r="L263" s="2" t="s">
        <v>130</v>
      </c>
    </row>
    <row r="264" spans="1:12" hidden="1" x14ac:dyDescent="0.3">
      <c r="A264" s="2" t="s">
        <v>8</v>
      </c>
      <c r="B264" s="2" t="s">
        <v>332</v>
      </c>
      <c r="C264">
        <v>78</v>
      </c>
      <c r="D264" s="2" t="s">
        <v>412</v>
      </c>
      <c r="E264" s="2" t="s">
        <v>91</v>
      </c>
      <c r="F264" s="2" t="s">
        <v>91</v>
      </c>
      <c r="G264" s="2" t="s">
        <v>108</v>
      </c>
      <c r="H264" s="2" t="s">
        <v>289</v>
      </c>
      <c r="I264" s="2" t="s">
        <v>133</v>
      </c>
      <c r="J264" s="2" t="s">
        <v>334</v>
      </c>
      <c r="K264" t="b">
        <v>0</v>
      </c>
      <c r="L264" s="2" t="s">
        <v>130</v>
      </c>
    </row>
    <row r="265" spans="1:12" hidden="1" x14ac:dyDescent="0.3">
      <c r="A265" s="2" t="s">
        <v>8</v>
      </c>
      <c r="B265" s="2" t="s">
        <v>332</v>
      </c>
      <c r="C265">
        <v>79</v>
      </c>
      <c r="D265" s="2" t="s">
        <v>413</v>
      </c>
      <c r="E265" s="2" t="s">
        <v>92</v>
      </c>
      <c r="F265" s="2" t="s">
        <v>92</v>
      </c>
      <c r="G265" s="2" t="s">
        <v>108</v>
      </c>
      <c r="H265" s="2" t="s">
        <v>289</v>
      </c>
      <c r="I265" s="2" t="s">
        <v>133</v>
      </c>
      <c r="J265" s="2" t="s">
        <v>334</v>
      </c>
      <c r="K265" t="b">
        <v>0</v>
      </c>
      <c r="L265" s="2" t="s">
        <v>130</v>
      </c>
    </row>
    <row r="266" spans="1:12" hidden="1" x14ac:dyDescent="0.3">
      <c r="A266" s="2" t="s">
        <v>8</v>
      </c>
      <c r="B266" s="2" t="s">
        <v>332</v>
      </c>
      <c r="C266">
        <v>80</v>
      </c>
      <c r="D266" s="2" t="s">
        <v>414</v>
      </c>
      <c r="E266" s="2" t="s">
        <v>93</v>
      </c>
      <c r="F266" s="2" t="s">
        <v>93</v>
      </c>
      <c r="G266" s="2" t="s">
        <v>108</v>
      </c>
      <c r="H266" s="2" t="s">
        <v>289</v>
      </c>
      <c r="I266" s="2" t="s">
        <v>133</v>
      </c>
      <c r="J266" s="2" t="s">
        <v>334</v>
      </c>
      <c r="K266" t="b">
        <v>0</v>
      </c>
      <c r="L266" s="2" t="s">
        <v>130</v>
      </c>
    </row>
    <row r="267" spans="1:12" hidden="1" x14ac:dyDescent="0.3">
      <c r="A267" s="2" t="s">
        <v>8</v>
      </c>
      <c r="B267" s="2" t="s">
        <v>332</v>
      </c>
      <c r="C267">
        <v>81</v>
      </c>
      <c r="D267" s="2" t="s">
        <v>415</v>
      </c>
      <c r="E267" s="2" t="s">
        <v>106</v>
      </c>
      <c r="F267" s="2" t="s">
        <v>106</v>
      </c>
      <c r="G267" s="2" t="s">
        <v>108</v>
      </c>
      <c r="H267" s="2" t="s">
        <v>289</v>
      </c>
      <c r="I267" s="2" t="s">
        <v>133</v>
      </c>
      <c r="J267" s="2" t="s">
        <v>334</v>
      </c>
      <c r="K267" t="b">
        <v>0</v>
      </c>
      <c r="L267" s="2" t="s">
        <v>130</v>
      </c>
    </row>
    <row r="268" spans="1:12" hidden="1" x14ac:dyDescent="0.3">
      <c r="A268" s="2" t="s">
        <v>8</v>
      </c>
      <c r="B268" s="2" t="s">
        <v>332</v>
      </c>
      <c r="C268">
        <v>82</v>
      </c>
      <c r="D268" s="2" t="s">
        <v>416</v>
      </c>
      <c r="E268" s="2" t="s">
        <v>107</v>
      </c>
      <c r="F268" s="2" t="s">
        <v>107</v>
      </c>
      <c r="G268" s="2" t="s">
        <v>108</v>
      </c>
      <c r="H268" s="2" t="s">
        <v>289</v>
      </c>
      <c r="I268" s="2" t="s">
        <v>133</v>
      </c>
      <c r="J268" s="2" t="s">
        <v>334</v>
      </c>
      <c r="K268" t="b">
        <v>0</v>
      </c>
      <c r="L268" s="2" t="s">
        <v>130</v>
      </c>
    </row>
    <row r="269" spans="1:12" hidden="1" x14ac:dyDescent="0.3">
      <c r="A269" s="2" t="s">
        <v>8</v>
      </c>
      <c r="B269" s="2" t="s">
        <v>332</v>
      </c>
      <c r="C269">
        <v>83</v>
      </c>
      <c r="D269" s="2" t="s">
        <v>417</v>
      </c>
      <c r="E269" s="2" t="s">
        <v>73</v>
      </c>
      <c r="F269" s="2" t="s">
        <v>73</v>
      </c>
      <c r="G269" s="2" t="s">
        <v>74</v>
      </c>
      <c r="H269" s="2" t="s">
        <v>320</v>
      </c>
      <c r="I269" s="2" t="s">
        <v>133</v>
      </c>
      <c r="J269" s="2" t="s">
        <v>334</v>
      </c>
      <c r="K269" t="b">
        <v>0</v>
      </c>
      <c r="L269" s="2" t="s">
        <v>130</v>
      </c>
    </row>
    <row r="270" spans="1:12" hidden="1" x14ac:dyDescent="0.3">
      <c r="A270" s="2" t="s">
        <v>8</v>
      </c>
      <c r="B270" s="2" t="s">
        <v>332</v>
      </c>
      <c r="C270">
        <v>84</v>
      </c>
      <c r="D270" s="2" t="s">
        <v>418</v>
      </c>
      <c r="E270" s="2" t="s">
        <v>75</v>
      </c>
      <c r="F270" s="2" t="s">
        <v>75</v>
      </c>
      <c r="G270" s="2" t="s">
        <v>74</v>
      </c>
      <c r="H270" s="2" t="s">
        <v>320</v>
      </c>
      <c r="I270" s="2" t="s">
        <v>133</v>
      </c>
      <c r="J270" s="2" t="s">
        <v>334</v>
      </c>
      <c r="K270" t="b">
        <v>0</v>
      </c>
      <c r="L270" s="2" t="s">
        <v>130</v>
      </c>
    </row>
    <row r="271" spans="1:12" hidden="1" x14ac:dyDescent="0.3">
      <c r="A271" s="2" t="s">
        <v>8</v>
      </c>
      <c r="B271" s="2" t="s">
        <v>332</v>
      </c>
      <c r="C271">
        <v>85</v>
      </c>
      <c r="D271" s="2" t="s">
        <v>419</v>
      </c>
      <c r="E271" s="2" t="s">
        <v>76</v>
      </c>
      <c r="F271" s="2" t="s">
        <v>76</v>
      </c>
      <c r="G271" s="2" t="s">
        <v>74</v>
      </c>
      <c r="H271" s="2" t="s">
        <v>320</v>
      </c>
      <c r="I271" s="2" t="s">
        <v>133</v>
      </c>
      <c r="J271" s="2" t="s">
        <v>334</v>
      </c>
      <c r="K271" t="b">
        <v>0</v>
      </c>
      <c r="L271" s="2" t="s">
        <v>130</v>
      </c>
    </row>
    <row r="272" spans="1:12" hidden="1" x14ac:dyDescent="0.3">
      <c r="A272" s="2" t="s">
        <v>8</v>
      </c>
      <c r="B272" s="2" t="s">
        <v>332</v>
      </c>
      <c r="C272">
        <v>86</v>
      </c>
      <c r="D272" s="2" t="s">
        <v>420</v>
      </c>
      <c r="E272" s="2" t="s">
        <v>78</v>
      </c>
      <c r="F272" s="2" t="s">
        <v>78</v>
      </c>
      <c r="G272" s="2" t="s">
        <v>80</v>
      </c>
      <c r="H272" s="2" t="s">
        <v>324</v>
      </c>
      <c r="I272" s="2" t="s">
        <v>133</v>
      </c>
      <c r="J272" s="2" t="s">
        <v>334</v>
      </c>
      <c r="K272" t="b">
        <v>0</v>
      </c>
      <c r="L272" s="2" t="s">
        <v>130</v>
      </c>
    </row>
    <row r="273" spans="1:12" hidden="1" x14ac:dyDescent="0.3">
      <c r="A273" s="2" t="s">
        <v>8</v>
      </c>
      <c r="B273" s="2" t="s">
        <v>332</v>
      </c>
      <c r="C273">
        <v>87</v>
      </c>
      <c r="D273" s="2" t="s">
        <v>421</v>
      </c>
      <c r="E273" s="2" t="s">
        <v>79</v>
      </c>
      <c r="F273" s="2" t="s">
        <v>79</v>
      </c>
      <c r="G273" s="2" t="s">
        <v>80</v>
      </c>
      <c r="H273" s="2" t="s">
        <v>324</v>
      </c>
      <c r="I273" s="2" t="s">
        <v>133</v>
      </c>
      <c r="J273" s="2" t="s">
        <v>334</v>
      </c>
      <c r="K273" t="b">
        <v>0</v>
      </c>
      <c r="L273" s="2" t="s">
        <v>130</v>
      </c>
    </row>
    <row r="274" spans="1:12" hidden="1" x14ac:dyDescent="0.3">
      <c r="A274" s="2" t="s">
        <v>8</v>
      </c>
      <c r="B274" s="2" t="s">
        <v>332</v>
      </c>
      <c r="C274">
        <v>88</v>
      </c>
      <c r="D274" s="2" t="s">
        <v>422</v>
      </c>
      <c r="E274" s="2" t="s">
        <v>11</v>
      </c>
      <c r="F274" s="2" t="s">
        <v>11</v>
      </c>
      <c r="G274" s="2" t="s">
        <v>80</v>
      </c>
      <c r="H274" s="2" t="s">
        <v>324</v>
      </c>
      <c r="I274" s="2" t="s">
        <v>133</v>
      </c>
      <c r="J274" s="2" t="s">
        <v>334</v>
      </c>
      <c r="K274" t="b">
        <v>0</v>
      </c>
      <c r="L274" s="2" t="s">
        <v>130</v>
      </c>
    </row>
    <row r="275" spans="1:12" hidden="1" x14ac:dyDescent="0.3">
      <c r="A275" s="2" t="s">
        <v>8</v>
      </c>
      <c r="B275" s="2" t="s">
        <v>332</v>
      </c>
      <c r="C275">
        <v>89</v>
      </c>
      <c r="D275" s="2" t="s">
        <v>423</v>
      </c>
      <c r="E275" s="2" t="s">
        <v>25</v>
      </c>
      <c r="F275" s="2" t="s">
        <v>25</v>
      </c>
      <c r="G275" s="2" t="s">
        <v>80</v>
      </c>
      <c r="H275" s="2" t="s">
        <v>324</v>
      </c>
      <c r="I275" s="2" t="s">
        <v>133</v>
      </c>
      <c r="J275" s="2" t="s">
        <v>334</v>
      </c>
      <c r="K275" t="b">
        <v>0</v>
      </c>
      <c r="L275" s="2" t="s">
        <v>130</v>
      </c>
    </row>
    <row r="276" spans="1:12" hidden="1" x14ac:dyDescent="0.3">
      <c r="A276" s="2" t="s">
        <v>8</v>
      </c>
      <c r="B276" s="2" t="s">
        <v>332</v>
      </c>
      <c r="C276">
        <v>90</v>
      </c>
      <c r="D276" s="2" t="s">
        <v>424</v>
      </c>
      <c r="E276" s="2" t="s">
        <v>26</v>
      </c>
      <c r="F276" s="2" t="s">
        <v>26</v>
      </c>
      <c r="G276" s="2" t="s">
        <v>80</v>
      </c>
      <c r="H276" s="2" t="s">
        <v>324</v>
      </c>
      <c r="I276" s="2" t="s">
        <v>133</v>
      </c>
      <c r="J276" s="2" t="s">
        <v>334</v>
      </c>
      <c r="K276" t="b">
        <v>0</v>
      </c>
      <c r="L276" s="2" t="s">
        <v>130</v>
      </c>
    </row>
    <row r="277" spans="1:12" hidden="1" x14ac:dyDescent="0.3">
      <c r="A277" s="2" t="s">
        <v>8</v>
      </c>
      <c r="B277" s="2" t="s">
        <v>332</v>
      </c>
      <c r="C277">
        <v>91</v>
      </c>
      <c r="D277" s="2" t="s">
        <v>425</v>
      </c>
      <c r="E277" s="2" t="s">
        <v>27</v>
      </c>
      <c r="F277" s="2" t="s">
        <v>27</v>
      </c>
      <c r="G277" s="2" t="s">
        <v>80</v>
      </c>
      <c r="H277" s="2" t="s">
        <v>324</v>
      </c>
      <c r="I277" s="2" t="s">
        <v>133</v>
      </c>
      <c r="J277" s="2" t="s">
        <v>334</v>
      </c>
      <c r="K277" t="b">
        <v>0</v>
      </c>
      <c r="L277" s="2" t="s">
        <v>130</v>
      </c>
    </row>
    <row r="278" spans="1:12" hidden="1" x14ac:dyDescent="0.3">
      <c r="A278" s="2" t="s">
        <v>8</v>
      </c>
      <c r="B278" s="2" t="s">
        <v>332</v>
      </c>
      <c r="C278">
        <v>92</v>
      </c>
      <c r="D278" s="2" t="s">
        <v>426</v>
      </c>
      <c r="E278" s="2" t="s">
        <v>47</v>
      </c>
      <c r="F278" s="2" t="s">
        <v>47</v>
      </c>
      <c r="G278" s="2" t="s">
        <v>80</v>
      </c>
      <c r="H278" s="2" t="s">
        <v>324</v>
      </c>
      <c r="I278" s="2" t="s">
        <v>133</v>
      </c>
      <c r="J278" s="2" t="s">
        <v>334</v>
      </c>
      <c r="K278" t="b">
        <v>0</v>
      </c>
      <c r="L278" s="2" t="s">
        <v>130</v>
      </c>
    </row>
    <row r="279" spans="1:12" hidden="1" x14ac:dyDescent="0.3">
      <c r="A279" s="2" t="s">
        <v>8</v>
      </c>
      <c r="B279" s="2" t="s">
        <v>332</v>
      </c>
      <c r="C279">
        <v>93</v>
      </c>
      <c r="D279" s="2" t="s">
        <v>427</v>
      </c>
      <c r="E279" s="2" t="s">
        <v>122</v>
      </c>
      <c r="F279" s="2" t="s">
        <v>122</v>
      </c>
      <c r="G279" s="2" t="s">
        <v>80</v>
      </c>
      <c r="H279" s="2" t="s">
        <v>324</v>
      </c>
      <c r="I279" s="2" t="s">
        <v>133</v>
      </c>
      <c r="J279" s="2" t="s">
        <v>334</v>
      </c>
      <c r="K279" t="b">
        <v>0</v>
      </c>
      <c r="L279" s="2" t="s">
        <v>130</v>
      </c>
    </row>
    <row r="280" spans="1:12" hidden="1" x14ac:dyDescent="0.3">
      <c r="A280" s="2" t="s">
        <v>8</v>
      </c>
      <c r="B280" s="2" t="s">
        <v>332</v>
      </c>
      <c r="C280">
        <v>94</v>
      </c>
      <c r="D280" s="2" t="s">
        <v>428</v>
      </c>
      <c r="E280" s="2" t="s">
        <v>24</v>
      </c>
      <c r="F280" s="2" t="s">
        <v>24</v>
      </c>
      <c r="G280" s="2" t="s">
        <v>80</v>
      </c>
      <c r="H280" s="2" t="s">
        <v>324</v>
      </c>
      <c r="I280" s="2" t="s">
        <v>133</v>
      </c>
      <c r="J280" s="2" t="s">
        <v>334</v>
      </c>
      <c r="K280" t="b">
        <v>0</v>
      </c>
      <c r="L280" s="2" t="s">
        <v>130</v>
      </c>
    </row>
    <row r="281" spans="1:12" hidden="1" x14ac:dyDescent="0.3">
      <c r="A281" s="2" t="s">
        <v>8</v>
      </c>
      <c r="B281" s="2"/>
      <c r="D281" s="2" t="s">
        <v>429</v>
      </c>
      <c r="E281" s="2"/>
      <c r="F281" s="2" t="s">
        <v>430</v>
      </c>
      <c r="G281" s="2"/>
      <c r="H281" s="2"/>
      <c r="I281" s="2" t="s">
        <v>133</v>
      </c>
      <c r="J281" s="2"/>
      <c r="K281" t="b">
        <v>0</v>
      </c>
      <c r="L281" s="2" t="s">
        <v>130</v>
      </c>
    </row>
    <row r="282" spans="1:12" hidden="1" x14ac:dyDescent="0.3">
      <c r="A282" s="2" t="s">
        <v>8</v>
      </c>
      <c r="B282" s="2"/>
      <c r="D282" s="2" t="s">
        <v>429</v>
      </c>
      <c r="E282" s="2"/>
      <c r="F282" s="2" t="s">
        <v>430</v>
      </c>
      <c r="G282" s="2"/>
      <c r="H282" s="2"/>
      <c r="I282" s="2" t="s">
        <v>133</v>
      </c>
      <c r="J282" s="2"/>
      <c r="K282" t="b">
        <v>0</v>
      </c>
      <c r="L282" s="2" t="s">
        <v>130</v>
      </c>
    </row>
    <row r="283" spans="1:12" hidden="1" x14ac:dyDescent="0.3">
      <c r="A283" s="2" t="s">
        <v>8</v>
      </c>
      <c r="B283" s="2"/>
      <c r="D283" s="2" t="s">
        <v>429</v>
      </c>
      <c r="E283" s="2"/>
      <c r="F283" s="2" t="s">
        <v>430</v>
      </c>
      <c r="G283" s="2"/>
      <c r="H283" s="2"/>
      <c r="I283" s="2" t="s">
        <v>133</v>
      </c>
      <c r="J283" s="2"/>
      <c r="K283" t="b">
        <v>0</v>
      </c>
      <c r="L283" s="2" t="s">
        <v>130</v>
      </c>
    </row>
    <row r="284" spans="1:12" hidden="1" x14ac:dyDescent="0.3">
      <c r="A284" s="2" t="s">
        <v>8</v>
      </c>
      <c r="B284" s="2"/>
      <c r="D284" s="2" t="s">
        <v>429</v>
      </c>
      <c r="E284" s="2"/>
      <c r="F284" s="2" t="s">
        <v>430</v>
      </c>
      <c r="G284" s="2"/>
      <c r="H284" s="2"/>
      <c r="I284" s="2" t="s">
        <v>133</v>
      </c>
      <c r="J284" s="2"/>
      <c r="K284" t="b">
        <v>0</v>
      </c>
      <c r="L284" s="2" t="s">
        <v>130</v>
      </c>
    </row>
    <row r="285" spans="1:12" hidden="1" x14ac:dyDescent="0.3">
      <c r="A285" s="2" t="s">
        <v>8</v>
      </c>
      <c r="B285" s="2"/>
      <c r="D285" s="2" t="s">
        <v>429</v>
      </c>
      <c r="E285" s="2"/>
      <c r="F285" s="2" t="s">
        <v>430</v>
      </c>
      <c r="G285" s="2"/>
      <c r="H285" s="2"/>
      <c r="I285" s="2" t="s">
        <v>133</v>
      </c>
      <c r="J285" s="2"/>
      <c r="K285" t="b">
        <v>0</v>
      </c>
      <c r="L285" s="2" t="s">
        <v>130</v>
      </c>
    </row>
    <row r="286" spans="1:12" hidden="1" x14ac:dyDescent="0.3">
      <c r="A286" s="2" t="s">
        <v>8</v>
      </c>
      <c r="B286" s="2"/>
      <c r="D286" s="2" t="s">
        <v>429</v>
      </c>
      <c r="E286" s="2"/>
      <c r="F286" s="2" t="s">
        <v>430</v>
      </c>
      <c r="G286" s="2"/>
      <c r="H286" s="2"/>
      <c r="I286" s="2" t="s">
        <v>133</v>
      </c>
      <c r="J286" s="2"/>
      <c r="K286" t="b">
        <v>0</v>
      </c>
      <c r="L286" s="2" t="s">
        <v>130</v>
      </c>
    </row>
    <row r="287" spans="1:12" hidden="1" x14ac:dyDescent="0.3">
      <c r="A287" s="2" t="s">
        <v>8</v>
      </c>
      <c r="B287" s="2"/>
      <c r="D287" s="2" t="s">
        <v>429</v>
      </c>
      <c r="E287" s="2"/>
      <c r="F287" s="2" t="s">
        <v>430</v>
      </c>
      <c r="G287" s="2"/>
      <c r="H287" s="2"/>
      <c r="I287" s="2" t="s">
        <v>133</v>
      </c>
      <c r="J287" s="2"/>
      <c r="K287" t="b">
        <v>0</v>
      </c>
      <c r="L287" s="2" t="s">
        <v>130</v>
      </c>
    </row>
    <row r="288" spans="1:12" hidden="1" x14ac:dyDescent="0.3">
      <c r="A288" s="2" t="s">
        <v>8</v>
      </c>
      <c r="B288" s="2"/>
      <c r="D288" s="2" t="s">
        <v>429</v>
      </c>
      <c r="E288" s="2"/>
      <c r="F288" s="2" t="s">
        <v>430</v>
      </c>
      <c r="G288" s="2"/>
      <c r="H288" s="2"/>
      <c r="I288" s="2" t="s">
        <v>133</v>
      </c>
      <c r="J288" s="2"/>
      <c r="K288" t="b">
        <v>0</v>
      </c>
      <c r="L288" s="2" t="s">
        <v>130</v>
      </c>
    </row>
    <row r="289" spans="1:12" hidden="1" x14ac:dyDescent="0.3">
      <c r="A289" s="2" t="s">
        <v>8</v>
      </c>
      <c r="B289" s="2"/>
      <c r="D289" s="2" t="s">
        <v>429</v>
      </c>
      <c r="E289" s="2"/>
      <c r="F289" s="2" t="s">
        <v>430</v>
      </c>
      <c r="G289" s="2"/>
      <c r="H289" s="2"/>
      <c r="I289" s="2" t="s">
        <v>133</v>
      </c>
      <c r="J289" s="2"/>
      <c r="K289" t="b">
        <v>0</v>
      </c>
      <c r="L289" s="2" t="s">
        <v>130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3E12-FAB7-41CE-9E50-8127D24F68FA}">
  <dimension ref="A1:L289"/>
  <sheetViews>
    <sheetView tabSelected="1" topLeftCell="E262" workbookViewId="0">
      <selection activeCell="K207" sqref="K207"/>
    </sheetView>
  </sheetViews>
  <sheetFormatPr defaultRowHeight="14.4" x14ac:dyDescent="0.3"/>
  <cols>
    <col min="1" max="1" width="13" bestFit="1" customWidth="1"/>
    <col min="2" max="2" width="14" bestFit="1" customWidth="1"/>
    <col min="3" max="3" width="9.21875" bestFit="1" customWidth="1"/>
    <col min="4" max="4" width="10.77734375" bestFit="1" customWidth="1"/>
    <col min="5" max="6" width="38.88671875" bestFit="1" customWidth="1"/>
    <col min="7" max="7" width="12.6640625" bestFit="1" customWidth="1"/>
    <col min="8" max="8" width="52.88671875" bestFit="1" customWidth="1"/>
    <col min="9" max="9" width="18.109375" bestFit="1" customWidth="1"/>
    <col min="10" max="10" width="19.109375" bestFit="1" customWidth="1"/>
    <col min="11" max="11" width="11.109375" bestFit="1" customWidth="1"/>
    <col min="12" max="12" width="12.77734375" bestFit="1" customWidth="1"/>
  </cols>
  <sheetData>
    <row r="1" spans="1:12" x14ac:dyDescent="0.3">
      <c r="A1" t="s">
        <v>5</v>
      </c>
      <c r="B1" t="s">
        <v>4</v>
      </c>
      <c r="C1" t="s">
        <v>3</v>
      </c>
      <c r="D1" t="s">
        <v>0</v>
      </c>
      <c r="E1" t="s">
        <v>2</v>
      </c>
      <c r="F1" t="s">
        <v>15</v>
      </c>
      <c r="G1" t="s">
        <v>34</v>
      </c>
      <c r="H1" t="s">
        <v>35</v>
      </c>
      <c r="I1" t="s">
        <v>1</v>
      </c>
      <c r="J1" t="s">
        <v>6</v>
      </c>
      <c r="K1" t="s">
        <v>12</v>
      </c>
      <c r="L1" t="s">
        <v>52</v>
      </c>
    </row>
    <row r="2" spans="1:12" hidden="1" x14ac:dyDescent="0.3">
      <c r="A2" t="s">
        <v>8</v>
      </c>
      <c r="B2" t="s">
        <v>20</v>
      </c>
      <c r="C2">
        <v>1</v>
      </c>
      <c r="D2" t="s">
        <v>131</v>
      </c>
      <c r="E2" t="s">
        <v>21</v>
      </c>
      <c r="F2" t="s">
        <v>21</v>
      </c>
      <c r="G2" t="s">
        <v>36</v>
      </c>
      <c r="H2" t="s">
        <v>132</v>
      </c>
      <c r="I2" t="s">
        <v>133</v>
      </c>
      <c r="J2" t="s">
        <v>134</v>
      </c>
      <c r="K2" t="b">
        <v>0</v>
      </c>
      <c r="L2" t="s">
        <v>130</v>
      </c>
    </row>
    <row r="3" spans="1:12" hidden="1" x14ac:dyDescent="0.3">
      <c r="A3" t="s">
        <v>8</v>
      </c>
      <c r="B3" t="s">
        <v>20</v>
      </c>
      <c r="C3">
        <v>2</v>
      </c>
      <c r="D3" t="s">
        <v>135</v>
      </c>
      <c r="E3" t="s">
        <v>28</v>
      </c>
      <c r="F3" t="s">
        <v>28</v>
      </c>
      <c r="G3" t="s">
        <v>36</v>
      </c>
      <c r="H3" t="s">
        <v>132</v>
      </c>
      <c r="I3" t="s">
        <v>133</v>
      </c>
      <c r="J3" t="s">
        <v>134</v>
      </c>
      <c r="K3" t="b">
        <v>0</v>
      </c>
      <c r="L3" t="s">
        <v>130</v>
      </c>
    </row>
    <row r="4" spans="1:12" hidden="1" x14ac:dyDescent="0.3">
      <c r="A4" t="s">
        <v>8</v>
      </c>
      <c r="B4" t="s">
        <v>20</v>
      </c>
      <c r="C4">
        <v>3</v>
      </c>
      <c r="D4" t="s">
        <v>136</v>
      </c>
      <c r="E4" t="s">
        <v>30</v>
      </c>
      <c r="F4" t="s">
        <v>30</v>
      </c>
      <c r="G4" t="s">
        <v>36</v>
      </c>
      <c r="H4" t="s">
        <v>132</v>
      </c>
      <c r="I4" t="s">
        <v>133</v>
      </c>
      <c r="J4" t="s">
        <v>134</v>
      </c>
      <c r="K4" t="b">
        <v>0</v>
      </c>
      <c r="L4" t="s">
        <v>130</v>
      </c>
    </row>
    <row r="5" spans="1:12" hidden="1" x14ac:dyDescent="0.3">
      <c r="A5" t="s">
        <v>8</v>
      </c>
      <c r="B5" t="s">
        <v>20</v>
      </c>
      <c r="C5">
        <v>4</v>
      </c>
      <c r="D5" t="s">
        <v>137</v>
      </c>
      <c r="E5" t="s">
        <v>29</v>
      </c>
      <c r="F5" t="s">
        <v>29</v>
      </c>
      <c r="G5" t="s">
        <v>36</v>
      </c>
      <c r="H5" t="s">
        <v>132</v>
      </c>
      <c r="I5" t="s">
        <v>133</v>
      </c>
      <c r="J5" t="s">
        <v>134</v>
      </c>
      <c r="K5" t="b">
        <v>0</v>
      </c>
      <c r="L5" t="s">
        <v>130</v>
      </c>
    </row>
    <row r="6" spans="1:12" hidden="1" x14ac:dyDescent="0.3">
      <c r="A6" t="s">
        <v>8</v>
      </c>
      <c r="B6" t="s">
        <v>20</v>
      </c>
      <c r="C6">
        <v>5</v>
      </c>
      <c r="D6" t="s">
        <v>138</v>
      </c>
      <c r="E6" t="s">
        <v>32</v>
      </c>
      <c r="F6" t="s">
        <v>32</v>
      </c>
      <c r="G6" t="s">
        <v>36</v>
      </c>
      <c r="H6" t="s">
        <v>132</v>
      </c>
      <c r="I6" t="s">
        <v>133</v>
      </c>
      <c r="J6" t="s">
        <v>134</v>
      </c>
      <c r="K6" t="b">
        <v>0</v>
      </c>
      <c r="L6" t="s">
        <v>130</v>
      </c>
    </row>
    <row r="7" spans="1:12" hidden="1" x14ac:dyDescent="0.3">
      <c r="A7" t="s">
        <v>8</v>
      </c>
      <c r="B7" t="s">
        <v>20</v>
      </c>
      <c r="C7">
        <v>6</v>
      </c>
      <c r="D7" t="s">
        <v>139</v>
      </c>
      <c r="E7" t="s">
        <v>7</v>
      </c>
      <c r="F7" t="s">
        <v>7</v>
      </c>
      <c r="G7" t="s">
        <v>36</v>
      </c>
      <c r="H7" t="s">
        <v>132</v>
      </c>
      <c r="I7" t="s">
        <v>133</v>
      </c>
      <c r="J7" t="s">
        <v>134</v>
      </c>
      <c r="K7" t="b">
        <v>0</v>
      </c>
      <c r="L7" t="s">
        <v>130</v>
      </c>
    </row>
    <row r="8" spans="1:12" hidden="1" x14ac:dyDescent="0.3">
      <c r="A8" t="s">
        <v>8</v>
      </c>
      <c r="B8" t="s">
        <v>20</v>
      </c>
      <c r="C8">
        <v>7</v>
      </c>
      <c r="D8" t="s">
        <v>140</v>
      </c>
      <c r="E8" t="s">
        <v>31</v>
      </c>
      <c r="F8" t="s">
        <v>31</v>
      </c>
      <c r="G8" t="s">
        <v>36</v>
      </c>
      <c r="H8" t="s">
        <v>132</v>
      </c>
      <c r="I8" t="s">
        <v>133</v>
      </c>
      <c r="J8" t="s">
        <v>134</v>
      </c>
      <c r="K8" t="b">
        <v>0</v>
      </c>
      <c r="L8" t="s">
        <v>130</v>
      </c>
    </row>
    <row r="9" spans="1:12" hidden="1" x14ac:dyDescent="0.3">
      <c r="A9" t="s">
        <v>8</v>
      </c>
      <c r="B9" t="s">
        <v>20</v>
      </c>
      <c r="C9">
        <v>8</v>
      </c>
      <c r="D9" t="s">
        <v>141</v>
      </c>
      <c r="E9" t="s">
        <v>33</v>
      </c>
      <c r="F9" t="s">
        <v>33</v>
      </c>
      <c r="G9" t="s">
        <v>36</v>
      </c>
      <c r="H9" t="s">
        <v>132</v>
      </c>
      <c r="I9" t="s">
        <v>133</v>
      </c>
      <c r="J9" t="s">
        <v>134</v>
      </c>
      <c r="K9" t="b">
        <v>0</v>
      </c>
      <c r="L9" t="s">
        <v>130</v>
      </c>
    </row>
    <row r="10" spans="1:12" hidden="1" x14ac:dyDescent="0.3">
      <c r="A10" t="s">
        <v>8</v>
      </c>
      <c r="B10" t="s">
        <v>20</v>
      </c>
      <c r="C10">
        <v>9</v>
      </c>
      <c r="D10" t="s">
        <v>142</v>
      </c>
      <c r="E10" t="s">
        <v>9</v>
      </c>
      <c r="F10" t="s">
        <v>9</v>
      </c>
      <c r="G10" t="s">
        <v>36</v>
      </c>
      <c r="H10" t="s">
        <v>132</v>
      </c>
      <c r="I10" t="s">
        <v>133</v>
      </c>
      <c r="J10" t="s">
        <v>134</v>
      </c>
      <c r="K10" t="b">
        <v>0</v>
      </c>
      <c r="L10" t="s">
        <v>130</v>
      </c>
    </row>
    <row r="11" spans="1:12" hidden="1" x14ac:dyDescent="0.3">
      <c r="A11" t="s">
        <v>8</v>
      </c>
      <c r="B11" t="s">
        <v>20</v>
      </c>
      <c r="C11">
        <v>10</v>
      </c>
      <c r="D11" t="s">
        <v>143</v>
      </c>
      <c r="E11" t="s">
        <v>17</v>
      </c>
      <c r="F11" t="s">
        <v>17</v>
      </c>
      <c r="G11" t="s">
        <v>36</v>
      </c>
      <c r="H11" t="s">
        <v>132</v>
      </c>
      <c r="I11" t="s">
        <v>133</v>
      </c>
      <c r="J11" t="s">
        <v>134</v>
      </c>
      <c r="K11" t="b">
        <v>0</v>
      </c>
      <c r="L11" t="s">
        <v>130</v>
      </c>
    </row>
    <row r="12" spans="1:12" hidden="1" x14ac:dyDescent="0.3">
      <c r="A12" t="s">
        <v>8</v>
      </c>
      <c r="B12" t="s">
        <v>20</v>
      </c>
      <c r="C12">
        <v>11</v>
      </c>
      <c r="D12" t="s">
        <v>144</v>
      </c>
      <c r="E12" t="s">
        <v>11</v>
      </c>
      <c r="F12" t="s">
        <v>11</v>
      </c>
      <c r="G12" t="s">
        <v>36</v>
      </c>
      <c r="H12" t="s">
        <v>132</v>
      </c>
      <c r="I12" t="s">
        <v>133</v>
      </c>
      <c r="J12" t="s">
        <v>134</v>
      </c>
      <c r="K12" t="b">
        <v>0</v>
      </c>
      <c r="L12" t="s">
        <v>130</v>
      </c>
    </row>
    <row r="13" spans="1:12" hidden="1" x14ac:dyDescent="0.3">
      <c r="A13" t="s">
        <v>8</v>
      </c>
      <c r="B13" t="s">
        <v>20</v>
      </c>
      <c r="C13">
        <v>12</v>
      </c>
      <c r="D13" t="s">
        <v>145</v>
      </c>
      <c r="E13" t="s">
        <v>14</v>
      </c>
      <c r="F13" t="s">
        <v>146</v>
      </c>
      <c r="G13" t="s">
        <v>36</v>
      </c>
      <c r="H13" t="s">
        <v>132</v>
      </c>
      <c r="I13" t="s">
        <v>133</v>
      </c>
      <c r="J13" t="s">
        <v>134</v>
      </c>
      <c r="K13" t="b">
        <v>1</v>
      </c>
      <c r="L13" t="s">
        <v>130</v>
      </c>
    </row>
    <row r="14" spans="1:12" hidden="1" x14ac:dyDescent="0.3">
      <c r="A14" t="s">
        <v>8</v>
      </c>
      <c r="B14" t="s">
        <v>20</v>
      </c>
      <c r="C14">
        <v>13</v>
      </c>
      <c r="D14" t="s">
        <v>147</v>
      </c>
      <c r="E14" t="s">
        <v>25</v>
      </c>
      <c r="F14" t="s">
        <v>25</v>
      </c>
      <c r="G14" t="s">
        <v>36</v>
      </c>
      <c r="H14" t="s">
        <v>132</v>
      </c>
      <c r="I14" t="s">
        <v>133</v>
      </c>
      <c r="J14" t="s">
        <v>134</v>
      </c>
      <c r="K14" t="b">
        <v>0</v>
      </c>
      <c r="L14" t="s">
        <v>130</v>
      </c>
    </row>
    <row r="15" spans="1:12" hidden="1" x14ac:dyDescent="0.3">
      <c r="A15" t="s">
        <v>8</v>
      </c>
      <c r="B15" t="s">
        <v>20</v>
      </c>
      <c r="C15">
        <v>14</v>
      </c>
      <c r="D15" t="s">
        <v>148</v>
      </c>
      <c r="E15" t="s">
        <v>26</v>
      </c>
      <c r="F15" t="s">
        <v>26</v>
      </c>
      <c r="G15" t="s">
        <v>36</v>
      </c>
      <c r="H15" t="s">
        <v>132</v>
      </c>
      <c r="I15" t="s">
        <v>133</v>
      </c>
      <c r="J15" t="s">
        <v>134</v>
      </c>
      <c r="K15" t="b">
        <v>0</v>
      </c>
      <c r="L15" t="s">
        <v>130</v>
      </c>
    </row>
    <row r="16" spans="1:12" hidden="1" x14ac:dyDescent="0.3">
      <c r="A16" t="s">
        <v>8</v>
      </c>
      <c r="B16" t="s">
        <v>20</v>
      </c>
      <c r="C16">
        <v>15</v>
      </c>
      <c r="D16" t="s">
        <v>149</v>
      </c>
      <c r="E16" t="s">
        <v>27</v>
      </c>
      <c r="F16" t="s">
        <v>27</v>
      </c>
      <c r="G16" t="s">
        <v>36</v>
      </c>
      <c r="H16" t="s">
        <v>132</v>
      </c>
      <c r="I16" t="s">
        <v>133</v>
      </c>
      <c r="J16" t="s">
        <v>134</v>
      </c>
      <c r="K16" t="b">
        <v>0</v>
      </c>
      <c r="L16" t="s">
        <v>130</v>
      </c>
    </row>
    <row r="17" spans="1:12" hidden="1" x14ac:dyDescent="0.3">
      <c r="A17" t="s">
        <v>8</v>
      </c>
      <c r="B17" t="s">
        <v>20</v>
      </c>
      <c r="C17">
        <v>16</v>
      </c>
      <c r="D17" t="s">
        <v>150</v>
      </c>
      <c r="E17" t="s">
        <v>24</v>
      </c>
      <c r="F17" t="s">
        <v>24</v>
      </c>
      <c r="G17" t="s">
        <v>36</v>
      </c>
      <c r="H17" t="s">
        <v>132</v>
      </c>
      <c r="I17" t="s">
        <v>133</v>
      </c>
      <c r="J17" t="s">
        <v>134</v>
      </c>
      <c r="K17" t="b">
        <v>0</v>
      </c>
      <c r="L17" t="s">
        <v>130</v>
      </c>
    </row>
    <row r="18" spans="1:12" hidden="1" x14ac:dyDescent="0.3">
      <c r="A18" t="s">
        <v>8</v>
      </c>
      <c r="B18" t="s">
        <v>20</v>
      </c>
      <c r="C18">
        <v>17</v>
      </c>
      <c r="D18" t="s">
        <v>151</v>
      </c>
      <c r="E18" t="s">
        <v>10</v>
      </c>
      <c r="F18" t="s">
        <v>10</v>
      </c>
      <c r="G18" t="s">
        <v>36</v>
      </c>
      <c r="H18" t="s">
        <v>132</v>
      </c>
      <c r="I18" t="s">
        <v>133</v>
      </c>
      <c r="J18" t="s">
        <v>134</v>
      </c>
      <c r="K18" t="b">
        <v>0</v>
      </c>
      <c r="L18" t="s">
        <v>130</v>
      </c>
    </row>
    <row r="19" spans="1:12" hidden="1" x14ac:dyDescent="0.3">
      <c r="A19" t="s">
        <v>8</v>
      </c>
      <c r="B19" t="s">
        <v>20</v>
      </c>
      <c r="C19">
        <v>18</v>
      </c>
      <c r="D19" t="s">
        <v>152</v>
      </c>
      <c r="E19" t="s">
        <v>19</v>
      </c>
      <c r="F19" t="s">
        <v>19</v>
      </c>
      <c r="G19" t="s">
        <v>36</v>
      </c>
      <c r="H19" t="s">
        <v>132</v>
      </c>
      <c r="I19" t="s">
        <v>133</v>
      </c>
      <c r="J19" t="s">
        <v>134</v>
      </c>
      <c r="K19" t="b">
        <v>0</v>
      </c>
      <c r="L19" t="s">
        <v>130</v>
      </c>
    </row>
    <row r="20" spans="1:12" hidden="1" x14ac:dyDescent="0.3">
      <c r="A20" t="s">
        <v>8</v>
      </c>
      <c r="B20" t="s">
        <v>20</v>
      </c>
      <c r="C20">
        <v>19</v>
      </c>
      <c r="D20" t="s">
        <v>153</v>
      </c>
      <c r="E20" t="s">
        <v>13</v>
      </c>
      <c r="F20" t="s">
        <v>13</v>
      </c>
      <c r="G20" t="s">
        <v>36</v>
      </c>
      <c r="H20" t="s">
        <v>132</v>
      </c>
      <c r="I20" t="s">
        <v>133</v>
      </c>
      <c r="J20" t="s">
        <v>134</v>
      </c>
      <c r="K20" t="b">
        <v>0</v>
      </c>
      <c r="L20" t="s">
        <v>130</v>
      </c>
    </row>
    <row r="21" spans="1:12" hidden="1" x14ac:dyDescent="0.3">
      <c r="A21" t="s">
        <v>8</v>
      </c>
      <c r="B21" t="s">
        <v>20</v>
      </c>
      <c r="C21">
        <v>20</v>
      </c>
      <c r="D21" t="s">
        <v>154</v>
      </c>
      <c r="E21" t="s">
        <v>16</v>
      </c>
      <c r="F21" t="s">
        <v>155</v>
      </c>
      <c r="G21" t="s">
        <v>36</v>
      </c>
      <c r="H21" t="s">
        <v>132</v>
      </c>
      <c r="I21" t="s">
        <v>133</v>
      </c>
      <c r="J21" t="s">
        <v>134</v>
      </c>
      <c r="K21" t="b">
        <v>1</v>
      </c>
      <c r="L21" t="s">
        <v>130</v>
      </c>
    </row>
    <row r="22" spans="1:12" hidden="1" x14ac:dyDescent="0.3">
      <c r="A22" t="s">
        <v>8</v>
      </c>
      <c r="B22" t="s">
        <v>20</v>
      </c>
      <c r="C22">
        <v>21</v>
      </c>
      <c r="D22" t="s">
        <v>156</v>
      </c>
      <c r="E22" t="s">
        <v>18</v>
      </c>
      <c r="F22" t="s">
        <v>18</v>
      </c>
      <c r="G22" t="s">
        <v>36</v>
      </c>
      <c r="H22" t="s">
        <v>132</v>
      </c>
      <c r="I22" t="s">
        <v>133</v>
      </c>
      <c r="J22" t="s">
        <v>134</v>
      </c>
      <c r="K22" t="b">
        <v>0</v>
      </c>
      <c r="L22" t="s">
        <v>130</v>
      </c>
    </row>
    <row r="23" spans="1:12" hidden="1" x14ac:dyDescent="0.3">
      <c r="A23" t="s">
        <v>8</v>
      </c>
      <c r="B23" t="s">
        <v>20</v>
      </c>
      <c r="C23">
        <v>22</v>
      </c>
      <c r="D23" t="s">
        <v>157</v>
      </c>
      <c r="E23" t="s">
        <v>37</v>
      </c>
      <c r="F23" t="s">
        <v>37</v>
      </c>
      <c r="G23" t="s">
        <v>38</v>
      </c>
      <c r="H23" t="s">
        <v>158</v>
      </c>
      <c r="I23" t="s">
        <v>133</v>
      </c>
      <c r="J23" t="s">
        <v>134</v>
      </c>
      <c r="K23" t="b">
        <v>0</v>
      </c>
      <c r="L23" t="s">
        <v>130</v>
      </c>
    </row>
    <row r="24" spans="1:12" hidden="1" x14ac:dyDescent="0.3">
      <c r="A24" t="s">
        <v>8</v>
      </c>
      <c r="B24" t="s">
        <v>20</v>
      </c>
      <c r="C24">
        <v>23</v>
      </c>
      <c r="D24" t="s">
        <v>159</v>
      </c>
      <c r="E24" t="s">
        <v>40</v>
      </c>
      <c r="F24" t="s">
        <v>40</v>
      </c>
      <c r="G24" t="s">
        <v>38</v>
      </c>
      <c r="H24" t="s">
        <v>158</v>
      </c>
      <c r="I24" t="s">
        <v>133</v>
      </c>
      <c r="J24" t="s">
        <v>134</v>
      </c>
      <c r="K24" t="b">
        <v>0</v>
      </c>
      <c r="L24" t="s">
        <v>130</v>
      </c>
    </row>
    <row r="25" spans="1:12" hidden="1" x14ac:dyDescent="0.3">
      <c r="A25" t="s">
        <v>8</v>
      </c>
      <c r="B25" t="s">
        <v>20</v>
      </c>
      <c r="C25">
        <v>24</v>
      </c>
      <c r="D25" t="s">
        <v>160</v>
      </c>
      <c r="E25" t="s">
        <v>41</v>
      </c>
      <c r="F25" t="s">
        <v>41</v>
      </c>
      <c r="G25" t="s">
        <v>38</v>
      </c>
      <c r="H25" t="s">
        <v>158</v>
      </c>
      <c r="I25" t="s">
        <v>133</v>
      </c>
      <c r="J25" t="s">
        <v>134</v>
      </c>
      <c r="K25" t="b">
        <v>0</v>
      </c>
      <c r="L25" t="s">
        <v>130</v>
      </c>
    </row>
    <row r="26" spans="1:12" hidden="1" x14ac:dyDescent="0.3">
      <c r="A26" t="s">
        <v>8</v>
      </c>
      <c r="B26" t="s">
        <v>20</v>
      </c>
      <c r="C26">
        <v>25</v>
      </c>
      <c r="D26" t="s">
        <v>161</v>
      </c>
      <c r="E26" t="s">
        <v>39</v>
      </c>
      <c r="F26" t="s">
        <v>39</v>
      </c>
      <c r="G26" t="s">
        <v>38</v>
      </c>
      <c r="H26" t="s">
        <v>158</v>
      </c>
      <c r="I26" t="s">
        <v>133</v>
      </c>
      <c r="J26" t="s">
        <v>134</v>
      </c>
      <c r="K26" t="b">
        <v>0</v>
      </c>
      <c r="L26" t="s">
        <v>130</v>
      </c>
    </row>
    <row r="27" spans="1:12" hidden="1" x14ac:dyDescent="0.3">
      <c r="A27" t="s">
        <v>8</v>
      </c>
      <c r="B27" t="s">
        <v>20</v>
      </c>
      <c r="C27">
        <v>26</v>
      </c>
      <c r="D27" t="s">
        <v>162</v>
      </c>
      <c r="E27" t="s">
        <v>42</v>
      </c>
      <c r="F27" t="s">
        <v>42</v>
      </c>
      <c r="G27" t="s">
        <v>46</v>
      </c>
      <c r="H27" t="s">
        <v>163</v>
      </c>
      <c r="I27" t="s">
        <v>133</v>
      </c>
      <c r="J27" t="s">
        <v>134</v>
      </c>
      <c r="K27" t="b">
        <v>0</v>
      </c>
      <c r="L27" t="s">
        <v>130</v>
      </c>
    </row>
    <row r="28" spans="1:12" hidden="1" x14ac:dyDescent="0.3">
      <c r="A28" t="s">
        <v>8</v>
      </c>
      <c r="B28" t="s">
        <v>20</v>
      </c>
      <c r="C28">
        <v>27</v>
      </c>
      <c r="D28" t="s">
        <v>164</v>
      </c>
      <c r="E28" t="s">
        <v>43</v>
      </c>
      <c r="F28" t="s">
        <v>43</v>
      </c>
      <c r="G28" t="s">
        <v>46</v>
      </c>
      <c r="H28" t="s">
        <v>163</v>
      </c>
      <c r="I28" t="s">
        <v>133</v>
      </c>
      <c r="J28" t="s">
        <v>134</v>
      </c>
      <c r="K28" t="b">
        <v>0</v>
      </c>
      <c r="L28" t="s">
        <v>130</v>
      </c>
    </row>
    <row r="29" spans="1:12" hidden="1" x14ac:dyDescent="0.3">
      <c r="A29" t="s">
        <v>8</v>
      </c>
      <c r="B29" t="s">
        <v>20</v>
      </c>
      <c r="C29">
        <v>28</v>
      </c>
      <c r="D29" t="s">
        <v>165</v>
      </c>
      <c r="E29" t="s">
        <v>44</v>
      </c>
      <c r="F29" t="s">
        <v>44</v>
      </c>
      <c r="G29" t="s">
        <v>46</v>
      </c>
      <c r="H29" t="s">
        <v>163</v>
      </c>
      <c r="I29" t="s">
        <v>133</v>
      </c>
      <c r="J29" t="s">
        <v>134</v>
      </c>
      <c r="K29" t="b">
        <v>0</v>
      </c>
      <c r="L29" t="s">
        <v>130</v>
      </c>
    </row>
    <row r="30" spans="1:12" hidden="1" x14ac:dyDescent="0.3">
      <c r="A30" t="s">
        <v>8</v>
      </c>
      <c r="B30" t="s">
        <v>20</v>
      </c>
      <c r="C30">
        <v>29</v>
      </c>
      <c r="D30" t="s">
        <v>166</v>
      </c>
      <c r="E30" t="s">
        <v>45</v>
      </c>
      <c r="F30" t="s">
        <v>45</v>
      </c>
      <c r="G30" t="s">
        <v>46</v>
      </c>
      <c r="H30" t="s">
        <v>163</v>
      </c>
      <c r="I30" t="s">
        <v>133</v>
      </c>
      <c r="J30" t="s">
        <v>134</v>
      </c>
      <c r="K30" t="b">
        <v>0</v>
      </c>
      <c r="L30" t="s">
        <v>130</v>
      </c>
    </row>
    <row r="31" spans="1:12" hidden="1" x14ac:dyDescent="0.3">
      <c r="A31" t="s">
        <v>8</v>
      </c>
      <c r="B31" t="s">
        <v>22</v>
      </c>
      <c r="C31">
        <v>1</v>
      </c>
      <c r="D31" t="s">
        <v>167</v>
      </c>
      <c r="E31" t="s">
        <v>21</v>
      </c>
      <c r="F31" t="s">
        <v>21</v>
      </c>
      <c r="G31" t="s">
        <v>36</v>
      </c>
      <c r="H31" t="s">
        <v>132</v>
      </c>
      <c r="I31" t="s">
        <v>133</v>
      </c>
      <c r="J31" t="s">
        <v>168</v>
      </c>
      <c r="K31" t="b">
        <v>0</v>
      </c>
      <c r="L31" t="s">
        <v>130</v>
      </c>
    </row>
    <row r="32" spans="1:12" hidden="1" x14ac:dyDescent="0.3">
      <c r="A32" t="s">
        <v>8</v>
      </c>
      <c r="B32" t="s">
        <v>22</v>
      </c>
      <c r="C32">
        <v>2</v>
      </c>
      <c r="D32" t="s">
        <v>169</v>
      </c>
      <c r="E32" t="s">
        <v>28</v>
      </c>
      <c r="F32" t="s">
        <v>28</v>
      </c>
      <c r="G32" t="s">
        <v>36</v>
      </c>
      <c r="H32" t="s">
        <v>132</v>
      </c>
      <c r="I32" t="s">
        <v>133</v>
      </c>
      <c r="J32" t="s">
        <v>168</v>
      </c>
      <c r="K32" t="b">
        <v>0</v>
      </c>
      <c r="L32" t="s">
        <v>130</v>
      </c>
    </row>
    <row r="33" spans="1:12" hidden="1" x14ac:dyDescent="0.3">
      <c r="A33" t="s">
        <v>8</v>
      </c>
      <c r="B33" t="s">
        <v>22</v>
      </c>
      <c r="C33">
        <v>3</v>
      </c>
      <c r="D33" t="s">
        <v>170</v>
      </c>
      <c r="E33" t="s">
        <v>30</v>
      </c>
      <c r="F33" t="s">
        <v>30</v>
      </c>
      <c r="G33" t="s">
        <v>36</v>
      </c>
      <c r="H33" t="s">
        <v>132</v>
      </c>
      <c r="I33" t="s">
        <v>133</v>
      </c>
      <c r="J33" t="s">
        <v>168</v>
      </c>
      <c r="K33" t="b">
        <v>0</v>
      </c>
      <c r="L33" t="s">
        <v>130</v>
      </c>
    </row>
    <row r="34" spans="1:12" hidden="1" x14ac:dyDescent="0.3">
      <c r="A34" t="s">
        <v>8</v>
      </c>
      <c r="B34" t="s">
        <v>22</v>
      </c>
      <c r="C34">
        <v>4</v>
      </c>
      <c r="D34" t="s">
        <v>171</v>
      </c>
      <c r="E34" t="s">
        <v>32</v>
      </c>
      <c r="F34" t="s">
        <v>32</v>
      </c>
      <c r="G34" t="s">
        <v>36</v>
      </c>
      <c r="H34" t="s">
        <v>132</v>
      </c>
      <c r="I34" t="s">
        <v>133</v>
      </c>
      <c r="J34" t="s">
        <v>168</v>
      </c>
      <c r="K34" t="b">
        <v>0</v>
      </c>
      <c r="L34" t="s">
        <v>130</v>
      </c>
    </row>
    <row r="35" spans="1:12" hidden="1" x14ac:dyDescent="0.3">
      <c r="A35" t="s">
        <v>8</v>
      </c>
      <c r="B35" t="s">
        <v>22</v>
      </c>
      <c r="C35">
        <v>5</v>
      </c>
      <c r="D35" t="s">
        <v>172</v>
      </c>
      <c r="E35" t="s">
        <v>48</v>
      </c>
      <c r="F35" t="s">
        <v>48</v>
      </c>
      <c r="G35" t="s">
        <v>36</v>
      </c>
      <c r="H35" t="s">
        <v>132</v>
      </c>
      <c r="I35" t="s">
        <v>133</v>
      </c>
      <c r="J35" t="s">
        <v>168</v>
      </c>
      <c r="K35" t="b">
        <v>0</v>
      </c>
      <c r="L35" t="s">
        <v>130</v>
      </c>
    </row>
    <row r="36" spans="1:12" hidden="1" x14ac:dyDescent="0.3">
      <c r="A36" t="s">
        <v>8</v>
      </c>
      <c r="B36" t="s">
        <v>22</v>
      </c>
      <c r="C36">
        <v>1</v>
      </c>
      <c r="D36" t="s">
        <v>167</v>
      </c>
      <c r="E36" t="s">
        <v>7</v>
      </c>
      <c r="F36" t="s">
        <v>7</v>
      </c>
      <c r="G36" t="s">
        <v>36</v>
      </c>
      <c r="H36" t="s">
        <v>132</v>
      </c>
      <c r="I36" t="s">
        <v>133</v>
      </c>
      <c r="J36" t="s">
        <v>168</v>
      </c>
      <c r="K36" t="b">
        <v>0</v>
      </c>
      <c r="L36" t="s">
        <v>130</v>
      </c>
    </row>
    <row r="37" spans="1:12" hidden="1" x14ac:dyDescent="0.3">
      <c r="A37" t="s">
        <v>8</v>
      </c>
      <c r="B37" t="s">
        <v>22</v>
      </c>
      <c r="C37">
        <v>2</v>
      </c>
      <c r="D37" t="s">
        <v>169</v>
      </c>
      <c r="E37" t="s">
        <v>33</v>
      </c>
      <c r="F37" t="s">
        <v>33</v>
      </c>
      <c r="G37" t="s">
        <v>36</v>
      </c>
      <c r="H37" t="s">
        <v>132</v>
      </c>
      <c r="I37" t="s">
        <v>133</v>
      </c>
      <c r="J37" t="s">
        <v>168</v>
      </c>
      <c r="K37" t="b">
        <v>0</v>
      </c>
      <c r="L37" t="s">
        <v>130</v>
      </c>
    </row>
    <row r="38" spans="1:12" hidden="1" x14ac:dyDescent="0.3">
      <c r="A38" t="s">
        <v>8</v>
      </c>
      <c r="B38" t="s">
        <v>22</v>
      </c>
      <c r="C38">
        <v>3</v>
      </c>
      <c r="D38" t="s">
        <v>170</v>
      </c>
      <c r="E38" t="s">
        <v>17</v>
      </c>
      <c r="F38" t="s">
        <v>17</v>
      </c>
      <c r="G38" t="s">
        <v>36</v>
      </c>
      <c r="H38" t="s">
        <v>132</v>
      </c>
      <c r="I38" t="s">
        <v>133</v>
      </c>
      <c r="J38" t="s">
        <v>168</v>
      </c>
      <c r="K38" t="b">
        <v>0</v>
      </c>
      <c r="L38" t="s">
        <v>130</v>
      </c>
    </row>
    <row r="39" spans="1:12" hidden="1" x14ac:dyDescent="0.3">
      <c r="A39" t="s">
        <v>8</v>
      </c>
      <c r="B39" t="s">
        <v>22</v>
      </c>
      <c r="C39">
        <v>4</v>
      </c>
      <c r="D39" t="s">
        <v>171</v>
      </c>
      <c r="E39" t="s">
        <v>11</v>
      </c>
      <c r="F39" t="s">
        <v>11</v>
      </c>
      <c r="G39" t="s">
        <v>36</v>
      </c>
      <c r="H39" t="s">
        <v>132</v>
      </c>
      <c r="I39" t="s">
        <v>133</v>
      </c>
      <c r="J39" t="s">
        <v>168</v>
      </c>
      <c r="K39" t="b">
        <v>0</v>
      </c>
      <c r="L39" t="s">
        <v>130</v>
      </c>
    </row>
    <row r="40" spans="1:12" hidden="1" x14ac:dyDescent="0.3">
      <c r="A40" t="s">
        <v>8</v>
      </c>
      <c r="B40" t="s">
        <v>22</v>
      </c>
      <c r="C40">
        <v>5</v>
      </c>
      <c r="D40" t="s">
        <v>172</v>
      </c>
      <c r="E40" t="s">
        <v>14</v>
      </c>
      <c r="F40" t="s">
        <v>146</v>
      </c>
      <c r="G40" t="s">
        <v>36</v>
      </c>
      <c r="H40" t="s">
        <v>132</v>
      </c>
      <c r="I40" t="s">
        <v>133</v>
      </c>
      <c r="J40" t="s">
        <v>168</v>
      </c>
      <c r="K40" t="b">
        <v>1</v>
      </c>
      <c r="L40" t="s">
        <v>130</v>
      </c>
    </row>
    <row r="41" spans="1:12" hidden="1" x14ac:dyDescent="0.3">
      <c r="A41" t="s">
        <v>8</v>
      </c>
      <c r="B41" t="s">
        <v>22</v>
      </c>
      <c r="C41">
        <v>6</v>
      </c>
      <c r="D41" t="s">
        <v>173</v>
      </c>
      <c r="E41" t="s">
        <v>25</v>
      </c>
      <c r="F41" t="s">
        <v>25</v>
      </c>
      <c r="G41" t="s">
        <v>36</v>
      </c>
      <c r="H41" t="s">
        <v>132</v>
      </c>
      <c r="I41" t="s">
        <v>133</v>
      </c>
      <c r="J41" t="s">
        <v>168</v>
      </c>
      <c r="K41" t="b">
        <v>0</v>
      </c>
      <c r="L41" t="s">
        <v>130</v>
      </c>
    </row>
    <row r="42" spans="1:12" hidden="1" x14ac:dyDescent="0.3">
      <c r="A42" t="s">
        <v>8</v>
      </c>
      <c r="B42" t="s">
        <v>22</v>
      </c>
      <c r="C42">
        <v>7</v>
      </c>
      <c r="D42" t="s">
        <v>174</v>
      </c>
      <c r="E42" t="s">
        <v>26</v>
      </c>
      <c r="F42" t="s">
        <v>26</v>
      </c>
      <c r="G42" t="s">
        <v>36</v>
      </c>
      <c r="H42" t="s">
        <v>132</v>
      </c>
      <c r="I42" t="s">
        <v>133</v>
      </c>
      <c r="J42" t="s">
        <v>168</v>
      </c>
      <c r="K42" t="b">
        <v>0</v>
      </c>
      <c r="L42" t="s">
        <v>130</v>
      </c>
    </row>
    <row r="43" spans="1:12" hidden="1" x14ac:dyDescent="0.3">
      <c r="A43" t="s">
        <v>8</v>
      </c>
      <c r="B43" t="s">
        <v>22</v>
      </c>
      <c r="C43">
        <v>8</v>
      </c>
      <c r="D43" t="s">
        <v>175</v>
      </c>
      <c r="E43" t="s">
        <v>47</v>
      </c>
      <c r="F43" t="s">
        <v>47</v>
      </c>
      <c r="G43" t="s">
        <v>36</v>
      </c>
      <c r="H43" t="s">
        <v>132</v>
      </c>
      <c r="I43" t="s">
        <v>133</v>
      </c>
      <c r="J43" t="s">
        <v>168</v>
      </c>
      <c r="K43" t="b">
        <v>0</v>
      </c>
      <c r="L43" t="s">
        <v>130</v>
      </c>
    </row>
    <row r="44" spans="1:12" hidden="1" x14ac:dyDescent="0.3">
      <c r="A44" t="s">
        <v>8</v>
      </c>
      <c r="B44" t="s">
        <v>22</v>
      </c>
      <c r="C44">
        <v>9</v>
      </c>
      <c r="D44" t="s">
        <v>176</v>
      </c>
      <c r="E44" t="s">
        <v>24</v>
      </c>
      <c r="F44" t="s">
        <v>24</v>
      </c>
      <c r="G44" t="s">
        <v>36</v>
      </c>
      <c r="H44" t="s">
        <v>132</v>
      </c>
      <c r="I44" t="s">
        <v>133</v>
      </c>
      <c r="J44" t="s">
        <v>168</v>
      </c>
      <c r="K44" t="b">
        <v>0</v>
      </c>
      <c r="L44" t="s">
        <v>130</v>
      </c>
    </row>
    <row r="45" spans="1:12" hidden="1" x14ac:dyDescent="0.3">
      <c r="A45" t="s">
        <v>8</v>
      </c>
      <c r="B45" t="s">
        <v>22</v>
      </c>
      <c r="C45">
        <v>10</v>
      </c>
      <c r="D45" t="s">
        <v>177</v>
      </c>
      <c r="E45" t="s">
        <v>10</v>
      </c>
      <c r="F45" t="s">
        <v>10</v>
      </c>
      <c r="G45" t="s">
        <v>36</v>
      </c>
      <c r="H45" t="s">
        <v>132</v>
      </c>
      <c r="I45" t="s">
        <v>133</v>
      </c>
      <c r="J45" t="s">
        <v>168</v>
      </c>
      <c r="K45" t="b">
        <v>0</v>
      </c>
      <c r="L45" t="s">
        <v>130</v>
      </c>
    </row>
    <row r="46" spans="1:12" hidden="1" x14ac:dyDescent="0.3">
      <c r="A46" t="s">
        <v>8</v>
      </c>
      <c r="B46" t="s">
        <v>22</v>
      </c>
      <c r="C46">
        <v>11</v>
      </c>
      <c r="D46" t="s">
        <v>178</v>
      </c>
      <c r="E46" t="s">
        <v>19</v>
      </c>
      <c r="F46" t="s">
        <v>19</v>
      </c>
      <c r="G46" t="s">
        <v>36</v>
      </c>
      <c r="H46" t="s">
        <v>132</v>
      </c>
      <c r="I46" t="s">
        <v>133</v>
      </c>
      <c r="J46" t="s">
        <v>168</v>
      </c>
      <c r="K46" t="b">
        <v>0</v>
      </c>
      <c r="L46" t="s">
        <v>130</v>
      </c>
    </row>
    <row r="47" spans="1:12" hidden="1" x14ac:dyDescent="0.3">
      <c r="A47" t="s">
        <v>8</v>
      </c>
      <c r="B47" t="s">
        <v>22</v>
      </c>
      <c r="C47">
        <v>12</v>
      </c>
      <c r="D47" t="s">
        <v>179</v>
      </c>
      <c r="E47" t="s">
        <v>13</v>
      </c>
      <c r="F47" t="s">
        <v>13</v>
      </c>
      <c r="G47" t="s">
        <v>36</v>
      </c>
      <c r="H47" t="s">
        <v>132</v>
      </c>
      <c r="I47" t="s">
        <v>133</v>
      </c>
      <c r="J47" t="s">
        <v>168</v>
      </c>
      <c r="K47" t="b">
        <v>0</v>
      </c>
      <c r="L47" t="s">
        <v>130</v>
      </c>
    </row>
    <row r="48" spans="1:12" hidden="1" x14ac:dyDescent="0.3">
      <c r="A48" t="s">
        <v>8</v>
      </c>
      <c r="B48" t="s">
        <v>22</v>
      </c>
      <c r="C48">
        <v>13</v>
      </c>
      <c r="D48" t="s">
        <v>180</v>
      </c>
      <c r="E48" t="s">
        <v>16</v>
      </c>
      <c r="F48" t="s">
        <v>155</v>
      </c>
      <c r="G48" t="s">
        <v>36</v>
      </c>
      <c r="H48" t="s">
        <v>132</v>
      </c>
      <c r="I48" t="s">
        <v>133</v>
      </c>
      <c r="J48" t="s">
        <v>168</v>
      </c>
      <c r="K48" t="b">
        <v>1</v>
      </c>
      <c r="L48" t="s">
        <v>130</v>
      </c>
    </row>
    <row r="49" spans="1:12" hidden="1" x14ac:dyDescent="0.3">
      <c r="A49" t="s">
        <v>8</v>
      </c>
      <c r="B49" t="s">
        <v>22</v>
      </c>
      <c r="C49">
        <v>14</v>
      </c>
      <c r="D49" t="s">
        <v>181</v>
      </c>
      <c r="E49" t="s">
        <v>18</v>
      </c>
      <c r="F49" t="s">
        <v>18</v>
      </c>
      <c r="G49" t="s">
        <v>36</v>
      </c>
      <c r="H49" t="s">
        <v>132</v>
      </c>
      <c r="I49" t="s">
        <v>133</v>
      </c>
      <c r="J49" t="s">
        <v>168</v>
      </c>
      <c r="K49" t="b">
        <v>0</v>
      </c>
      <c r="L49" t="s">
        <v>130</v>
      </c>
    </row>
    <row r="50" spans="1:12" hidden="1" x14ac:dyDescent="0.3">
      <c r="A50" t="s">
        <v>8</v>
      </c>
      <c r="B50" t="s">
        <v>22</v>
      </c>
      <c r="C50">
        <v>15</v>
      </c>
      <c r="D50" t="s">
        <v>182</v>
      </c>
      <c r="E50" t="s">
        <v>49</v>
      </c>
      <c r="F50" t="s">
        <v>49</v>
      </c>
      <c r="G50" t="s">
        <v>38</v>
      </c>
      <c r="H50" t="s">
        <v>158</v>
      </c>
      <c r="I50" t="s">
        <v>133</v>
      </c>
      <c r="J50" t="s">
        <v>168</v>
      </c>
      <c r="K50" t="b">
        <v>0</v>
      </c>
      <c r="L50" t="s">
        <v>130</v>
      </c>
    </row>
    <row r="51" spans="1:12" hidden="1" x14ac:dyDescent="0.3">
      <c r="A51" t="s">
        <v>8</v>
      </c>
      <c r="B51" t="s">
        <v>22</v>
      </c>
      <c r="C51">
        <v>16</v>
      </c>
      <c r="D51" t="s">
        <v>183</v>
      </c>
      <c r="E51" t="s">
        <v>37</v>
      </c>
      <c r="F51" t="s">
        <v>37</v>
      </c>
      <c r="G51" t="s">
        <v>38</v>
      </c>
      <c r="H51" t="s">
        <v>158</v>
      </c>
      <c r="I51" t="s">
        <v>133</v>
      </c>
      <c r="J51" t="s">
        <v>168</v>
      </c>
      <c r="K51" t="b">
        <v>0</v>
      </c>
      <c r="L51" t="s">
        <v>130</v>
      </c>
    </row>
    <row r="52" spans="1:12" hidden="1" x14ac:dyDescent="0.3">
      <c r="A52" t="s">
        <v>8</v>
      </c>
      <c r="B52" t="s">
        <v>22</v>
      </c>
      <c r="C52">
        <v>17</v>
      </c>
      <c r="D52" t="s">
        <v>184</v>
      </c>
      <c r="E52" t="s">
        <v>40</v>
      </c>
      <c r="F52" t="s">
        <v>40</v>
      </c>
      <c r="G52" t="s">
        <v>38</v>
      </c>
      <c r="H52" t="s">
        <v>158</v>
      </c>
      <c r="I52" t="s">
        <v>133</v>
      </c>
      <c r="J52" t="s">
        <v>168</v>
      </c>
      <c r="K52" t="b">
        <v>0</v>
      </c>
      <c r="L52" t="s">
        <v>130</v>
      </c>
    </row>
    <row r="53" spans="1:12" hidden="1" x14ac:dyDescent="0.3">
      <c r="A53" t="s">
        <v>8</v>
      </c>
      <c r="B53" t="s">
        <v>22</v>
      </c>
      <c r="C53">
        <v>18</v>
      </c>
      <c r="D53" t="s">
        <v>185</v>
      </c>
      <c r="E53" t="s">
        <v>41</v>
      </c>
      <c r="F53" t="s">
        <v>41</v>
      </c>
      <c r="G53" t="s">
        <v>38</v>
      </c>
      <c r="H53" t="s">
        <v>158</v>
      </c>
      <c r="I53" t="s">
        <v>133</v>
      </c>
      <c r="J53" t="s">
        <v>168</v>
      </c>
      <c r="K53" t="b">
        <v>0</v>
      </c>
      <c r="L53" t="s">
        <v>130</v>
      </c>
    </row>
    <row r="54" spans="1:12" hidden="1" x14ac:dyDescent="0.3">
      <c r="A54" t="s">
        <v>8</v>
      </c>
      <c r="B54" t="s">
        <v>22</v>
      </c>
      <c r="C54">
        <v>19</v>
      </c>
      <c r="D54" t="s">
        <v>186</v>
      </c>
      <c r="E54" t="s">
        <v>39</v>
      </c>
      <c r="F54" t="s">
        <v>39</v>
      </c>
      <c r="G54" t="s">
        <v>38</v>
      </c>
      <c r="H54" t="s">
        <v>158</v>
      </c>
      <c r="I54" t="s">
        <v>133</v>
      </c>
      <c r="J54" t="s">
        <v>168</v>
      </c>
      <c r="K54" t="b">
        <v>0</v>
      </c>
      <c r="L54" t="s">
        <v>130</v>
      </c>
    </row>
    <row r="55" spans="1:12" hidden="1" x14ac:dyDescent="0.3">
      <c r="A55" t="s">
        <v>8</v>
      </c>
      <c r="B55" t="s">
        <v>22</v>
      </c>
      <c r="C55">
        <v>20</v>
      </c>
      <c r="D55" t="s">
        <v>187</v>
      </c>
      <c r="E55" t="s">
        <v>42</v>
      </c>
      <c r="F55" t="s">
        <v>42</v>
      </c>
      <c r="G55" t="s">
        <v>46</v>
      </c>
      <c r="H55" t="s">
        <v>163</v>
      </c>
      <c r="I55" t="s">
        <v>133</v>
      </c>
      <c r="J55" t="s">
        <v>168</v>
      </c>
      <c r="K55" t="b">
        <v>0</v>
      </c>
      <c r="L55" t="s">
        <v>130</v>
      </c>
    </row>
    <row r="56" spans="1:12" hidden="1" x14ac:dyDescent="0.3">
      <c r="A56" t="s">
        <v>8</v>
      </c>
      <c r="B56" t="s">
        <v>22</v>
      </c>
      <c r="C56">
        <v>21</v>
      </c>
      <c r="D56" t="s">
        <v>188</v>
      </c>
      <c r="E56" t="s">
        <v>43</v>
      </c>
      <c r="F56" t="s">
        <v>43</v>
      </c>
      <c r="G56" t="s">
        <v>46</v>
      </c>
      <c r="H56" t="s">
        <v>163</v>
      </c>
      <c r="I56" t="s">
        <v>133</v>
      </c>
      <c r="J56" t="s">
        <v>168</v>
      </c>
      <c r="K56" t="b">
        <v>0</v>
      </c>
      <c r="L56" t="s">
        <v>130</v>
      </c>
    </row>
    <row r="57" spans="1:12" hidden="1" x14ac:dyDescent="0.3">
      <c r="A57" t="s">
        <v>8</v>
      </c>
      <c r="B57" t="s">
        <v>22</v>
      </c>
      <c r="C57">
        <v>22</v>
      </c>
      <c r="D57" t="s">
        <v>189</v>
      </c>
      <c r="E57" t="s">
        <v>44</v>
      </c>
      <c r="F57" t="s">
        <v>44</v>
      </c>
      <c r="G57" t="s">
        <v>46</v>
      </c>
      <c r="H57" t="s">
        <v>163</v>
      </c>
      <c r="I57" t="s">
        <v>133</v>
      </c>
      <c r="J57" t="s">
        <v>168</v>
      </c>
      <c r="K57" t="b">
        <v>0</v>
      </c>
      <c r="L57" t="s">
        <v>130</v>
      </c>
    </row>
    <row r="58" spans="1:12" hidden="1" x14ac:dyDescent="0.3">
      <c r="A58" t="s">
        <v>8</v>
      </c>
      <c r="B58" t="s">
        <v>22</v>
      </c>
      <c r="C58">
        <v>23</v>
      </c>
      <c r="D58" t="s">
        <v>190</v>
      </c>
      <c r="E58" t="s">
        <v>45</v>
      </c>
      <c r="F58" t="s">
        <v>45</v>
      </c>
      <c r="G58" t="s">
        <v>46</v>
      </c>
      <c r="H58" t="s">
        <v>163</v>
      </c>
      <c r="I58" t="s">
        <v>133</v>
      </c>
      <c r="J58" t="s">
        <v>168</v>
      </c>
      <c r="K58" t="b">
        <v>0</v>
      </c>
      <c r="L58" t="s">
        <v>130</v>
      </c>
    </row>
    <row r="59" spans="1:12" hidden="1" x14ac:dyDescent="0.3">
      <c r="A59" t="s">
        <v>8</v>
      </c>
      <c r="B59" t="s">
        <v>23</v>
      </c>
      <c r="C59">
        <v>1</v>
      </c>
      <c r="D59" t="s">
        <v>191</v>
      </c>
      <c r="E59" t="s">
        <v>21</v>
      </c>
      <c r="F59" t="s">
        <v>21</v>
      </c>
      <c r="G59" t="s">
        <v>36</v>
      </c>
      <c r="H59" t="s">
        <v>132</v>
      </c>
      <c r="I59" t="s">
        <v>133</v>
      </c>
      <c r="J59" t="s">
        <v>192</v>
      </c>
      <c r="K59" t="b">
        <v>0</v>
      </c>
      <c r="L59" t="s">
        <v>130</v>
      </c>
    </row>
    <row r="60" spans="1:12" hidden="1" x14ac:dyDescent="0.3">
      <c r="A60" t="s">
        <v>8</v>
      </c>
      <c r="B60" t="s">
        <v>23</v>
      </c>
      <c r="C60">
        <v>2</v>
      </c>
      <c r="D60" t="s">
        <v>193</v>
      </c>
      <c r="E60" t="s">
        <v>28</v>
      </c>
      <c r="F60" t="s">
        <v>28</v>
      </c>
      <c r="G60" t="s">
        <v>36</v>
      </c>
      <c r="H60" t="s">
        <v>132</v>
      </c>
      <c r="I60" t="s">
        <v>133</v>
      </c>
      <c r="J60" t="s">
        <v>192</v>
      </c>
      <c r="K60" t="b">
        <v>0</v>
      </c>
      <c r="L60" t="s">
        <v>130</v>
      </c>
    </row>
    <row r="61" spans="1:12" hidden="1" x14ac:dyDescent="0.3">
      <c r="A61" t="s">
        <v>8</v>
      </c>
      <c r="B61" t="s">
        <v>23</v>
      </c>
      <c r="C61">
        <v>3</v>
      </c>
      <c r="D61" t="s">
        <v>194</v>
      </c>
      <c r="E61" t="s">
        <v>30</v>
      </c>
      <c r="F61" t="s">
        <v>30</v>
      </c>
      <c r="G61" t="s">
        <v>36</v>
      </c>
      <c r="H61" t="s">
        <v>132</v>
      </c>
      <c r="I61" t="s">
        <v>133</v>
      </c>
      <c r="J61" t="s">
        <v>192</v>
      </c>
      <c r="K61" t="b">
        <v>0</v>
      </c>
      <c r="L61" t="s">
        <v>130</v>
      </c>
    </row>
    <row r="62" spans="1:12" hidden="1" x14ac:dyDescent="0.3">
      <c r="A62" t="s">
        <v>8</v>
      </c>
      <c r="B62" t="s">
        <v>23</v>
      </c>
      <c r="C62">
        <v>4</v>
      </c>
      <c r="D62" t="s">
        <v>195</v>
      </c>
      <c r="E62" t="s">
        <v>51</v>
      </c>
      <c r="F62" t="s">
        <v>51</v>
      </c>
      <c r="G62" t="s">
        <v>36</v>
      </c>
      <c r="H62" t="s">
        <v>132</v>
      </c>
      <c r="I62" t="s">
        <v>133</v>
      </c>
      <c r="J62" t="s">
        <v>192</v>
      </c>
      <c r="K62" t="b">
        <v>0</v>
      </c>
      <c r="L62" t="s">
        <v>130</v>
      </c>
    </row>
    <row r="63" spans="1:12" hidden="1" x14ac:dyDescent="0.3">
      <c r="A63" t="s">
        <v>8</v>
      </c>
      <c r="B63" t="s">
        <v>23</v>
      </c>
      <c r="C63">
        <v>5</v>
      </c>
      <c r="D63" t="s">
        <v>196</v>
      </c>
      <c r="E63" t="s">
        <v>32</v>
      </c>
      <c r="F63" t="s">
        <v>32</v>
      </c>
      <c r="G63" t="s">
        <v>36</v>
      </c>
      <c r="H63" t="s">
        <v>132</v>
      </c>
      <c r="I63" t="s">
        <v>133</v>
      </c>
      <c r="J63" t="s">
        <v>192</v>
      </c>
      <c r="K63" t="b">
        <v>0</v>
      </c>
      <c r="L63" t="s">
        <v>130</v>
      </c>
    </row>
    <row r="64" spans="1:12" hidden="1" x14ac:dyDescent="0.3">
      <c r="A64" t="s">
        <v>8</v>
      </c>
      <c r="B64" t="s">
        <v>23</v>
      </c>
      <c r="C64">
        <v>6</v>
      </c>
      <c r="D64" t="s">
        <v>197</v>
      </c>
      <c r="E64" t="s">
        <v>48</v>
      </c>
      <c r="F64" t="s">
        <v>48</v>
      </c>
      <c r="G64" t="s">
        <v>36</v>
      </c>
      <c r="H64" t="s">
        <v>132</v>
      </c>
      <c r="I64" t="s">
        <v>133</v>
      </c>
      <c r="J64" t="s">
        <v>192</v>
      </c>
      <c r="K64" t="b">
        <v>0</v>
      </c>
      <c r="L64" t="s">
        <v>130</v>
      </c>
    </row>
    <row r="65" spans="1:12" hidden="1" x14ac:dyDescent="0.3">
      <c r="A65" t="s">
        <v>8</v>
      </c>
      <c r="B65" t="s">
        <v>23</v>
      </c>
      <c r="C65">
        <v>7</v>
      </c>
      <c r="D65" t="s">
        <v>198</v>
      </c>
      <c r="E65" t="s">
        <v>7</v>
      </c>
      <c r="F65" t="s">
        <v>7</v>
      </c>
      <c r="G65" t="s">
        <v>36</v>
      </c>
      <c r="H65" t="s">
        <v>132</v>
      </c>
      <c r="I65" t="s">
        <v>133</v>
      </c>
      <c r="J65" t="s">
        <v>192</v>
      </c>
      <c r="K65" t="b">
        <v>0</v>
      </c>
      <c r="L65" t="s">
        <v>130</v>
      </c>
    </row>
    <row r="66" spans="1:12" hidden="1" x14ac:dyDescent="0.3">
      <c r="A66" t="s">
        <v>8</v>
      </c>
      <c r="B66" t="s">
        <v>23</v>
      </c>
      <c r="C66">
        <v>8</v>
      </c>
      <c r="D66" t="s">
        <v>199</v>
      </c>
      <c r="E66" t="s">
        <v>31</v>
      </c>
      <c r="F66" t="s">
        <v>31</v>
      </c>
      <c r="G66" t="s">
        <v>36</v>
      </c>
      <c r="H66" t="s">
        <v>132</v>
      </c>
      <c r="I66" t="s">
        <v>133</v>
      </c>
      <c r="J66" t="s">
        <v>192</v>
      </c>
      <c r="K66" t="b">
        <v>0</v>
      </c>
      <c r="L66" t="s">
        <v>130</v>
      </c>
    </row>
    <row r="67" spans="1:12" hidden="1" x14ac:dyDescent="0.3">
      <c r="A67" t="s">
        <v>8</v>
      </c>
      <c r="B67" t="s">
        <v>23</v>
      </c>
      <c r="C67">
        <v>9</v>
      </c>
      <c r="D67" t="s">
        <v>200</v>
      </c>
      <c r="E67" t="s">
        <v>33</v>
      </c>
      <c r="F67" t="s">
        <v>33</v>
      </c>
      <c r="G67" t="s">
        <v>36</v>
      </c>
      <c r="H67" t="s">
        <v>132</v>
      </c>
      <c r="I67" t="s">
        <v>133</v>
      </c>
      <c r="J67" t="s">
        <v>192</v>
      </c>
      <c r="K67" t="b">
        <v>0</v>
      </c>
      <c r="L67" t="s">
        <v>130</v>
      </c>
    </row>
    <row r="68" spans="1:12" hidden="1" x14ac:dyDescent="0.3">
      <c r="A68" t="s">
        <v>8</v>
      </c>
      <c r="B68" t="s">
        <v>23</v>
      </c>
      <c r="C68">
        <v>10</v>
      </c>
      <c r="D68" t="s">
        <v>201</v>
      </c>
      <c r="E68" t="s">
        <v>50</v>
      </c>
      <c r="F68" t="s">
        <v>50</v>
      </c>
      <c r="G68" t="s">
        <v>36</v>
      </c>
      <c r="H68" t="s">
        <v>132</v>
      </c>
      <c r="I68" t="s">
        <v>133</v>
      </c>
      <c r="J68" t="s">
        <v>192</v>
      </c>
      <c r="K68" t="b">
        <v>0</v>
      </c>
      <c r="L68" t="s">
        <v>130</v>
      </c>
    </row>
    <row r="69" spans="1:12" hidden="1" x14ac:dyDescent="0.3">
      <c r="A69" t="s">
        <v>8</v>
      </c>
      <c r="B69" t="s">
        <v>23</v>
      </c>
      <c r="C69">
        <v>11</v>
      </c>
      <c r="D69" t="s">
        <v>202</v>
      </c>
      <c r="E69" t="s">
        <v>17</v>
      </c>
      <c r="F69" t="s">
        <v>17</v>
      </c>
      <c r="G69" t="s">
        <v>36</v>
      </c>
      <c r="H69" t="s">
        <v>132</v>
      </c>
      <c r="I69" t="s">
        <v>133</v>
      </c>
      <c r="J69" t="s">
        <v>192</v>
      </c>
      <c r="K69" t="b">
        <v>0</v>
      </c>
      <c r="L69" t="s">
        <v>130</v>
      </c>
    </row>
    <row r="70" spans="1:12" hidden="1" x14ac:dyDescent="0.3">
      <c r="A70" t="s">
        <v>8</v>
      </c>
      <c r="B70" t="s">
        <v>23</v>
      </c>
      <c r="C70">
        <v>12</v>
      </c>
      <c r="D70" t="s">
        <v>203</v>
      </c>
      <c r="E70" t="s">
        <v>11</v>
      </c>
      <c r="F70" t="s">
        <v>11</v>
      </c>
      <c r="G70" t="s">
        <v>36</v>
      </c>
      <c r="H70" t="s">
        <v>132</v>
      </c>
      <c r="I70" t="s">
        <v>133</v>
      </c>
      <c r="J70" t="s">
        <v>192</v>
      </c>
      <c r="K70" t="b">
        <v>0</v>
      </c>
      <c r="L70" t="s">
        <v>130</v>
      </c>
    </row>
    <row r="71" spans="1:12" hidden="1" x14ac:dyDescent="0.3">
      <c r="A71" t="s">
        <v>8</v>
      </c>
      <c r="B71" t="s">
        <v>23</v>
      </c>
      <c r="C71">
        <v>13</v>
      </c>
      <c r="D71" t="s">
        <v>204</v>
      </c>
      <c r="E71" t="s">
        <v>14</v>
      </c>
      <c r="F71" t="s">
        <v>146</v>
      </c>
      <c r="G71" t="s">
        <v>36</v>
      </c>
      <c r="H71" t="s">
        <v>132</v>
      </c>
      <c r="I71" t="s">
        <v>133</v>
      </c>
      <c r="J71" t="s">
        <v>192</v>
      </c>
      <c r="K71" t="b">
        <v>1</v>
      </c>
      <c r="L71" t="s">
        <v>130</v>
      </c>
    </row>
    <row r="72" spans="1:12" hidden="1" x14ac:dyDescent="0.3">
      <c r="A72" t="s">
        <v>8</v>
      </c>
      <c r="B72" t="s">
        <v>23</v>
      </c>
      <c r="C72">
        <v>14</v>
      </c>
      <c r="D72" t="s">
        <v>205</v>
      </c>
      <c r="E72" t="s">
        <v>25</v>
      </c>
      <c r="F72" t="s">
        <v>25</v>
      </c>
      <c r="G72" t="s">
        <v>36</v>
      </c>
      <c r="H72" t="s">
        <v>132</v>
      </c>
      <c r="I72" t="s">
        <v>133</v>
      </c>
      <c r="J72" t="s">
        <v>192</v>
      </c>
      <c r="K72" t="b">
        <v>0</v>
      </c>
      <c r="L72" t="s">
        <v>130</v>
      </c>
    </row>
    <row r="73" spans="1:12" hidden="1" x14ac:dyDescent="0.3">
      <c r="A73" t="s">
        <v>8</v>
      </c>
      <c r="B73" t="s">
        <v>23</v>
      </c>
      <c r="C73">
        <v>15</v>
      </c>
      <c r="D73" t="s">
        <v>206</v>
      </c>
      <c r="E73" t="s">
        <v>26</v>
      </c>
      <c r="F73" t="s">
        <v>26</v>
      </c>
      <c r="G73" t="s">
        <v>36</v>
      </c>
      <c r="H73" t="s">
        <v>132</v>
      </c>
      <c r="I73" t="s">
        <v>133</v>
      </c>
      <c r="J73" t="s">
        <v>192</v>
      </c>
      <c r="K73" t="b">
        <v>0</v>
      </c>
      <c r="L73" t="s">
        <v>130</v>
      </c>
    </row>
    <row r="74" spans="1:12" hidden="1" x14ac:dyDescent="0.3">
      <c r="A74" t="s">
        <v>8</v>
      </c>
      <c r="B74" t="s">
        <v>23</v>
      </c>
      <c r="C74">
        <v>16</v>
      </c>
      <c r="D74" t="s">
        <v>207</v>
      </c>
      <c r="E74" t="s">
        <v>27</v>
      </c>
      <c r="F74" t="s">
        <v>27</v>
      </c>
      <c r="G74" t="s">
        <v>36</v>
      </c>
      <c r="H74" t="s">
        <v>132</v>
      </c>
      <c r="I74" t="s">
        <v>133</v>
      </c>
      <c r="J74" t="s">
        <v>192</v>
      </c>
      <c r="K74" t="b">
        <v>0</v>
      </c>
      <c r="L74" t="s">
        <v>130</v>
      </c>
    </row>
    <row r="75" spans="1:12" hidden="1" x14ac:dyDescent="0.3">
      <c r="A75" t="s">
        <v>8</v>
      </c>
      <c r="B75" t="s">
        <v>23</v>
      </c>
      <c r="C75">
        <v>17</v>
      </c>
      <c r="D75" t="s">
        <v>208</v>
      </c>
      <c r="E75" t="s">
        <v>47</v>
      </c>
      <c r="F75" t="s">
        <v>47</v>
      </c>
      <c r="G75" t="s">
        <v>36</v>
      </c>
      <c r="H75" t="s">
        <v>132</v>
      </c>
      <c r="I75" t="s">
        <v>133</v>
      </c>
      <c r="J75" t="s">
        <v>192</v>
      </c>
      <c r="K75" t="b">
        <v>0</v>
      </c>
      <c r="L75" t="s">
        <v>130</v>
      </c>
    </row>
    <row r="76" spans="1:12" hidden="1" x14ac:dyDescent="0.3">
      <c r="A76" t="s">
        <v>8</v>
      </c>
      <c r="B76" t="s">
        <v>23</v>
      </c>
      <c r="C76">
        <v>18</v>
      </c>
      <c r="D76" t="s">
        <v>209</v>
      </c>
      <c r="E76" t="s">
        <v>24</v>
      </c>
      <c r="F76" t="s">
        <v>24</v>
      </c>
      <c r="G76" t="s">
        <v>36</v>
      </c>
      <c r="H76" t="s">
        <v>132</v>
      </c>
      <c r="I76" t="s">
        <v>133</v>
      </c>
      <c r="J76" t="s">
        <v>192</v>
      </c>
      <c r="K76" t="b">
        <v>0</v>
      </c>
      <c r="L76" t="s">
        <v>130</v>
      </c>
    </row>
    <row r="77" spans="1:12" hidden="1" x14ac:dyDescent="0.3">
      <c r="A77" t="s">
        <v>8</v>
      </c>
      <c r="B77" t="s">
        <v>23</v>
      </c>
      <c r="C77">
        <v>19</v>
      </c>
      <c r="D77" t="s">
        <v>210</v>
      </c>
      <c r="E77" t="s">
        <v>19</v>
      </c>
      <c r="F77" t="s">
        <v>19</v>
      </c>
      <c r="G77" t="s">
        <v>36</v>
      </c>
      <c r="H77" t="s">
        <v>132</v>
      </c>
      <c r="I77" t="s">
        <v>133</v>
      </c>
      <c r="J77" t="s">
        <v>192</v>
      </c>
      <c r="K77" t="b">
        <v>0</v>
      </c>
      <c r="L77" t="s">
        <v>130</v>
      </c>
    </row>
    <row r="78" spans="1:12" hidden="1" x14ac:dyDescent="0.3">
      <c r="A78" t="s">
        <v>8</v>
      </c>
      <c r="B78" t="s">
        <v>23</v>
      </c>
      <c r="C78">
        <v>20</v>
      </c>
      <c r="D78" t="s">
        <v>211</v>
      </c>
      <c r="E78" t="s">
        <v>13</v>
      </c>
      <c r="F78" t="s">
        <v>13</v>
      </c>
      <c r="G78" t="s">
        <v>36</v>
      </c>
      <c r="H78" t="s">
        <v>132</v>
      </c>
      <c r="I78" t="s">
        <v>133</v>
      </c>
      <c r="J78" t="s">
        <v>192</v>
      </c>
      <c r="K78" t="b">
        <v>0</v>
      </c>
      <c r="L78" t="s">
        <v>130</v>
      </c>
    </row>
    <row r="79" spans="1:12" hidden="1" x14ac:dyDescent="0.3">
      <c r="A79" t="s">
        <v>8</v>
      </c>
      <c r="B79" t="s">
        <v>23</v>
      </c>
      <c r="C79">
        <v>21</v>
      </c>
      <c r="D79" t="s">
        <v>212</v>
      </c>
      <c r="E79" t="s">
        <v>16</v>
      </c>
      <c r="F79" t="s">
        <v>155</v>
      </c>
      <c r="G79" t="s">
        <v>36</v>
      </c>
      <c r="H79" t="s">
        <v>132</v>
      </c>
      <c r="I79" t="s">
        <v>133</v>
      </c>
      <c r="J79" t="s">
        <v>192</v>
      </c>
      <c r="K79" t="b">
        <v>1</v>
      </c>
      <c r="L79" t="s">
        <v>130</v>
      </c>
    </row>
    <row r="80" spans="1:12" hidden="1" x14ac:dyDescent="0.3">
      <c r="A80" t="s">
        <v>8</v>
      </c>
      <c r="B80" t="s">
        <v>23</v>
      </c>
      <c r="C80">
        <v>22</v>
      </c>
      <c r="D80" t="s">
        <v>213</v>
      </c>
      <c r="E80" t="s">
        <v>18</v>
      </c>
      <c r="F80" t="s">
        <v>18</v>
      </c>
      <c r="G80" t="s">
        <v>36</v>
      </c>
      <c r="H80" t="s">
        <v>132</v>
      </c>
      <c r="I80" t="s">
        <v>133</v>
      </c>
      <c r="J80" t="s">
        <v>192</v>
      </c>
      <c r="K80" t="b">
        <v>0</v>
      </c>
      <c r="L80" t="s">
        <v>130</v>
      </c>
    </row>
    <row r="81" spans="1:12" hidden="1" x14ac:dyDescent="0.3">
      <c r="A81" t="s">
        <v>8</v>
      </c>
      <c r="B81" t="s">
        <v>23</v>
      </c>
      <c r="C81">
        <v>23</v>
      </c>
      <c r="D81" t="s">
        <v>214</v>
      </c>
      <c r="E81" t="s">
        <v>49</v>
      </c>
      <c r="F81" t="s">
        <v>49</v>
      </c>
      <c r="G81" t="s">
        <v>38</v>
      </c>
      <c r="H81" t="s">
        <v>158</v>
      </c>
      <c r="I81" t="s">
        <v>133</v>
      </c>
      <c r="J81" t="s">
        <v>192</v>
      </c>
      <c r="K81" t="b">
        <v>0</v>
      </c>
      <c r="L81" t="s">
        <v>130</v>
      </c>
    </row>
    <row r="82" spans="1:12" hidden="1" x14ac:dyDescent="0.3">
      <c r="A82" t="s">
        <v>8</v>
      </c>
      <c r="B82" t="s">
        <v>23</v>
      </c>
      <c r="C82">
        <v>24</v>
      </c>
      <c r="D82" t="s">
        <v>215</v>
      </c>
      <c r="E82" t="s">
        <v>37</v>
      </c>
      <c r="F82" t="s">
        <v>37</v>
      </c>
      <c r="G82" t="s">
        <v>38</v>
      </c>
      <c r="H82" t="s">
        <v>158</v>
      </c>
      <c r="I82" t="s">
        <v>133</v>
      </c>
      <c r="J82" t="s">
        <v>192</v>
      </c>
      <c r="K82" t="b">
        <v>0</v>
      </c>
      <c r="L82" t="s">
        <v>130</v>
      </c>
    </row>
    <row r="83" spans="1:12" hidden="1" x14ac:dyDescent="0.3">
      <c r="A83" t="s">
        <v>8</v>
      </c>
      <c r="B83" t="s">
        <v>23</v>
      </c>
      <c r="C83">
        <v>25</v>
      </c>
      <c r="D83" t="s">
        <v>216</v>
      </c>
      <c r="E83" t="s">
        <v>40</v>
      </c>
      <c r="F83" t="s">
        <v>40</v>
      </c>
      <c r="G83" t="s">
        <v>38</v>
      </c>
      <c r="H83" t="s">
        <v>158</v>
      </c>
      <c r="I83" t="s">
        <v>133</v>
      </c>
      <c r="J83" t="s">
        <v>192</v>
      </c>
      <c r="K83" t="b">
        <v>0</v>
      </c>
      <c r="L83" t="s">
        <v>130</v>
      </c>
    </row>
    <row r="84" spans="1:12" hidden="1" x14ac:dyDescent="0.3">
      <c r="A84" t="s">
        <v>8</v>
      </c>
      <c r="B84" t="s">
        <v>23</v>
      </c>
      <c r="C84">
        <v>26</v>
      </c>
      <c r="D84" t="s">
        <v>217</v>
      </c>
      <c r="E84" t="s">
        <v>41</v>
      </c>
      <c r="F84" t="s">
        <v>41</v>
      </c>
      <c r="G84" t="s">
        <v>38</v>
      </c>
      <c r="H84" t="s">
        <v>158</v>
      </c>
      <c r="I84" t="s">
        <v>133</v>
      </c>
      <c r="J84" t="s">
        <v>192</v>
      </c>
      <c r="K84" t="b">
        <v>0</v>
      </c>
      <c r="L84" t="s">
        <v>130</v>
      </c>
    </row>
    <row r="85" spans="1:12" hidden="1" x14ac:dyDescent="0.3">
      <c r="A85" t="s">
        <v>8</v>
      </c>
      <c r="B85" t="s">
        <v>23</v>
      </c>
      <c r="C85">
        <v>27</v>
      </c>
      <c r="D85" t="s">
        <v>218</v>
      </c>
      <c r="E85" t="s">
        <v>39</v>
      </c>
      <c r="F85" t="s">
        <v>39</v>
      </c>
      <c r="G85" t="s">
        <v>38</v>
      </c>
      <c r="H85" t="s">
        <v>158</v>
      </c>
      <c r="I85" t="s">
        <v>133</v>
      </c>
      <c r="J85" t="s">
        <v>192</v>
      </c>
      <c r="K85" t="b">
        <v>0</v>
      </c>
      <c r="L85" t="s">
        <v>130</v>
      </c>
    </row>
    <row r="86" spans="1:12" hidden="1" x14ac:dyDescent="0.3">
      <c r="A86" t="s">
        <v>8</v>
      </c>
      <c r="B86" t="s">
        <v>23</v>
      </c>
      <c r="C86">
        <v>28</v>
      </c>
      <c r="D86" t="s">
        <v>219</v>
      </c>
      <c r="E86" t="s">
        <v>42</v>
      </c>
      <c r="F86" t="s">
        <v>42</v>
      </c>
      <c r="G86" t="s">
        <v>46</v>
      </c>
      <c r="H86" t="s">
        <v>163</v>
      </c>
      <c r="I86" t="s">
        <v>133</v>
      </c>
      <c r="J86" t="s">
        <v>192</v>
      </c>
      <c r="K86" t="b">
        <v>0</v>
      </c>
      <c r="L86" t="s">
        <v>130</v>
      </c>
    </row>
    <row r="87" spans="1:12" hidden="1" x14ac:dyDescent="0.3">
      <c r="A87" t="s">
        <v>8</v>
      </c>
      <c r="B87" t="s">
        <v>23</v>
      </c>
      <c r="C87">
        <v>29</v>
      </c>
      <c r="D87" t="s">
        <v>220</v>
      </c>
      <c r="E87" t="s">
        <v>43</v>
      </c>
      <c r="F87" t="s">
        <v>43</v>
      </c>
      <c r="G87" t="s">
        <v>46</v>
      </c>
      <c r="H87" t="s">
        <v>163</v>
      </c>
      <c r="I87" t="s">
        <v>133</v>
      </c>
      <c r="J87" t="s">
        <v>192</v>
      </c>
      <c r="K87" t="b">
        <v>0</v>
      </c>
      <c r="L87" t="s">
        <v>130</v>
      </c>
    </row>
    <row r="88" spans="1:12" hidden="1" x14ac:dyDescent="0.3">
      <c r="A88" t="s">
        <v>8</v>
      </c>
      <c r="B88" t="s">
        <v>23</v>
      </c>
      <c r="C88">
        <v>30</v>
      </c>
      <c r="D88" t="s">
        <v>221</v>
      </c>
      <c r="E88" t="s">
        <v>44</v>
      </c>
      <c r="F88" t="s">
        <v>44</v>
      </c>
      <c r="G88" t="s">
        <v>46</v>
      </c>
      <c r="H88" t="s">
        <v>163</v>
      </c>
      <c r="I88" t="s">
        <v>133</v>
      </c>
      <c r="J88" t="s">
        <v>192</v>
      </c>
      <c r="K88" t="b">
        <v>0</v>
      </c>
      <c r="L88" t="s">
        <v>130</v>
      </c>
    </row>
    <row r="89" spans="1:12" hidden="1" x14ac:dyDescent="0.3">
      <c r="A89" t="s">
        <v>8</v>
      </c>
      <c r="B89" t="s">
        <v>23</v>
      </c>
      <c r="C89">
        <v>31</v>
      </c>
      <c r="D89" t="s">
        <v>222</v>
      </c>
      <c r="E89" t="s">
        <v>45</v>
      </c>
      <c r="F89" t="s">
        <v>45</v>
      </c>
      <c r="G89" t="s">
        <v>46</v>
      </c>
      <c r="H89" t="s">
        <v>163</v>
      </c>
      <c r="I89" t="s">
        <v>133</v>
      </c>
      <c r="J89" t="s">
        <v>192</v>
      </c>
      <c r="K89" t="b">
        <v>0</v>
      </c>
      <c r="L89" t="s">
        <v>130</v>
      </c>
    </row>
    <row r="90" spans="1:12" hidden="1" x14ac:dyDescent="0.3">
      <c r="A90" t="s">
        <v>8</v>
      </c>
      <c r="B90" t="s">
        <v>223</v>
      </c>
      <c r="C90">
        <v>1</v>
      </c>
      <c r="D90" t="s">
        <v>224</v>
      </c>
      <c r="E90" t="s">
        <v>56</v>
      </c>
      <c r="F90" t="s">
        <v>225</v>
      </c>
      <c r="G90" t="s">
        <v>36</v>
      </c>
      <c r="H90" t="s">
        <v>132</v>
      </c>
      <c r="I90" t="s">
        <v>133</v>
      </c>
      <c r="J90" t="s">
        <v>226</v>
      </c>
      <c r="K90" t="b">
        <v>1</v>
      </c>
      <c r="L90" t="s">
        <v>130</v>
      </c>
    </row>
    <row r="91" spans="1:12" hidden="1" x14ac:dyDescent="0.3">
      <c r="A91" t="s">
        <v>8</v>
      </c>
      <c r="B91" t="s">
        <v>223</v>
      </c>
      <c r="C91">
        <v>2</v>
      </c>
      <c r="D91" t="s">
        <v>227</v>
      </c>
      <c r="E91" t="s">
        <v>71</v>
      </c>
      <c r="F91" t="s">
        <v>228</v>
      </c>
      <c r="G91" t="s">
        <v>36</v>
      </c>
      <c r="H91" t="s">
        <v>132</v>
      </c>
      <c r="I91" t="s">
        <v>133</v>
      </c>
      <c r="J91" t="s">
        <v>226</v>
      </c>
      <c r="K91" t="b">
        <v>1</v>
      </c>
      <c r="L91" t="s">
        <v>130</v>
      </c>
    </row>
    <row r="92" spans="1:12" hidden="1" x14ac:dyDescent="0.3">
      <c r="A92" t="s">
        <v>8</v>
      </c>
      <c r="B92" t="s">
        <v>223</v>
      </c>
      <c r="C92">
        <v>3</v>
      </c>
      <c r="D92" t="s">
        <v>229</v>
      </c>
      <c r="E92" t="s">
        <v>28</v>
      </c>
      <c r="F92" t="s">
        <v>28</v>
      </c>
      <c r="G92" t="s">
        <v>36</v>
      </c>
      <c r="H92" t="s">
        <v>132</v>
      </c>
      <c r="I92" t="s">
        <v>133</v>
      </c>
      <c r="J92" t="s">
        <v>226</v>
      </c>
      <c r="K92" t="b">
        <v>0</v>
      </c>
      <c r="L92" t="s">
        <v>130</v>
      </c>
    </row>
    <row r="93" spans="1:12" hidden="1" x14ac:dyDescent="0.3">
      <c r="A93" t="s">
        <v>8</v>
      </c>
      <c r="B93" t="s">
        <v>223</v>
      </c>
      <c r="C93">
        <v>4</v>
      </c>
      <c r="D93" t="s">
        <v>230</v>
      </c>
      <c r="E93" t="s">
        <v>30</v>
      </c>
      <c r="F93" t="s">
        <v>30</v>
      </c>
      <c r="G93" t="s">
        <v>36</v>
      </c>
      <c r="H93" t="s">
        <v>132</v>
      </c>
      <c r="I93" t="s">
        <v>133</v>
      </c>
      <c r="J93" t="s">
        <v>226</v>
      </c>
      <c r="K93" t="b">
        <v>0</v>
      </c>
      <c r="L93" t="s">
        <v>130</v>
      </c>
    </row>
    <row r="94" spans="1:12" hidden="1" x14ac:dyDescent="0.3">
      <c r="A94" t="s">
        <v>8</v>
      </c>
      <c r="B94" t="s">
        <v>223</v>
      </c>
      <c r="C94">
        <v>5</v>
      </c>
      <c r="D94" t="s">
        <v>231</v>
      </c>
      <c r="E94" t="s">
        <v>51</v>
      </c>
      <c r="F94" t="s">
        <v>51</v>
      </c>
      <c r="G94" t="s">
        <v>36</v>
      </c>
      <c r="H94" t="s">
        <v>132</v>
      </c>
      <c r="I94" t="s">
        <v>133</v>
      </c>
      <c r="J94" t="s">
        <v>226</v>
      </c>
      <c r="K94" t="b">
        <v>0</v>
      </c>
      <c r="L94" t="s">
        <v>130</v>
      </c>
    </row>
    <row r="95" spans="1:12" hidden="1" x14ac:dyDescent="0.3">
      <c r="A95" t="s">
        <v>8</v>
      </c>
      <c r="B95" t="s">
        <v>223</v>
      </c>
      <c r="C95">
        <v>6</v>
      </c>
      <c r="D95" t="s">
        <v>232</v>
      </c>
      <c r="E95" t="s">
        <v>70</v>
      </c>
      <c r="F95" t="s">
        <v>70</v>
      </c>
      <c r="G95" t="s">
        <v>36</v>
      </c>
      <c r="H95" t="s">
        <v>132</v>
      </c>
      <c r="I95" t="s">
        <v>133</v>
      </c>
      <c r="J95" t="s">
        <v>226</v>
      </c>
      <c r="K95" t="b">
        <v>0</v>
      </c>
      <c r="L95" t="s">
        <v>130</v>
      </c>
    </row>
    <row r="96" spans="1:12" hidden="1" x14ac:dyDescent="0.3">
      <c r="A96" t="s">
        <v>8</v>
      </c>
      <c r="B96" t="s">
        <v>223</v>
      </c>
      <c r="C96">
        <v>7</v>
      </c>
      <c r="D96" t="s">
        <v>233</v>
      </c>
      <c r="E96" t="s">
        <v>48</v>
      </c>
      <c r="F96" t="s">
        <v>48</v>
      </c>
      <c r="G96" t="s">
        <v>36</v>
      </c>
      <c r="H96" t="s">
        <v>132</v>
      </c>
      <c r="I96" t="s">
        <v>133</v>
      </c>
      <c r="J96" t="s">
        <v>226</v>
      </c>
      <c r="K96" t="b">
        <v>0</v>
      </c>
      <c r="L96" t="s">
        <v>130</v>
      </c>
    </row>
    <row r="97" spans="1:12" hidden="1" x14ac:dyDescent="0.3">
      <c r="A97" t="s">
        <v>8</v>
      </c>
      <c r="B97" t="s">
        <v>223</v>
      </c>
      <c r="C97">
        <v>8</v>
      </c>
      <c r="D97" t="s">
        <v>234</v>
      </c>
      <c r="E97" t="s">
        <v>7</v>
      </c>
      <c r="F97" t="s">
        <v>7</v>
      </c>
      <c r="G97" t="s">
        <v>36</v>
      </c>
      <c r="H97" t="s">
        <v>132</v>
      </c>
      <c r="I97" t="s">
        <v>133</v>
      </c>
      <c r="J97" t="s">
        <v>226</v>
      </c>
      <c r="K97" t="b">
        <v>0</v>
      </c>
      <c r="L97" t="s">
        <v>130</v>
      </c>
    </row>
    <row r="98" spans="1:12" hidden="1" x14ac:dyDescent="0.3">
      <c r="A98" t="s">
        <v>8</v>
      </c>
      <c r="B98" t="s">
        <v>223</v>
      </c>
      <c r="C98">
        <v>9</v>
      </c>
      <c r="D98" t="s">
        <v>235</v>
      </c>
      <c r="E98" t="s">
        <v>31</v>
      </c>
      <c r="F98" t="s">
        <v>31</v>
      </c>
      <c r="G98" t="s">
        <v>36</v>
      </c>
      <c r="H98" t="s">
        <v>132</v>
      </c>
      <c r="I98" t="s">
        <v>133</v>
      </c>
      <c r="J98" t="s">
        <v>226</v>
      </c>
      <c r="K98" t="b">
        <v>0</v>
      </c>
      <c r="L98" t="s">
        <v>130</v>
      </c>
    </row>
    <row r="99" spans="1:12" hidden="1" x14ac:dyDescent="0.3">
      <c r="A99" t="s">
        <v>8</v>
      </c>
      <c r="B99" t="s">
        <v>223</v>
      </c>
      <c r="C99">
        <v>10</v>
      </c>
      <c r="D99" t="s">
        <v>236</v>
      </c>
      <c r="E99" t="s">
        <v>33</v>
      </c>
      <c r="F99" t="s">
        <v>33</v>
      </c>
      <c r="G99" t="s">
        <v>36</v>
      </c>
      <c r="H99" t="s">
        <v>132</v>
      </c>
      <c r="I99" t="s">
        <v>133</v>
      </c>
      <c r="J99" t="s">
        <v>226</v>
      </c>
      <c r="K99" t="b">
        <v>0</v>
      </c>
      <c r="L99" t="s">
        <v>130</v>
      </c>
    </row>
    <row r="100" spans="1:12" hidden="1" x14ac:dyDescent="0.3">
      <c r="A100" t="s">
        <v>8</v>
      </c>
      <c r="B100" t="s">
        <v>223</v>
      </c>
      <c r="C100">
        <v>11</v>
      </c>
      <c r="D100" t="s">
        <v>237</v>
      </c>
      <c r="E100" t="s">
        <v>58</v>
      </c>
      <c r="F100" t="s">
        <v>58</v>
      </c>
      <c r="G100" t="s">
        <v>36</v>
      </c>
      <c r="H100" t="s">
        <v>132</v>
      </c>
      <c r="I100" t="s">
        <v>133</v>
      </c>
      <c r="J100" t="s">
        <v>226</v>
      </c>
      <c r="K100" t="b">
        <v>0</v>
      </c>
      <c r="L100" t="s">
        <v>130</v>
      </c>
    </row>
    <row r="101" spans="1:12" hidden="1" x14ac:dyDescent="0.3">
      <c r="A101" t="s">
        <v>8</v>
      </c>
      <c r="B101" t="s">
        <v>223</v>
      </c>
      <c r="C101">
        <v>12</v>
      </c>
      <c r="D101" t="s">
        <v>238</v>
      </c>
      <c r="E101" t="s">
        <v>59</v>
      </c>
      <c r="F101" t="s">
        <v>239</v>
      </c>
      <c r="G101" t="s">
        <v>36</v>
      </c>
      <c r="H101" t="s">
        <v>132</v>
      </c>
      <c r="I101" t="s">
        <v>133</v>
      </c>
      <c r="J101" t="s">
        <v>226</v>
      </c>
      <c r="K101" t="b">
        <v>1</v>
      </c>
      <c r="L101" t="s">
        <v>130</v>
      </c>
    </row>
    <row r="102" spans="1:12" hidden="1" x14ac:dyDescent="0.3">
      <c r="A102" t="s">
        <v>8</v>
      </c>
      <c r="B102" t="s">
        <v>223</v>
      </c>
      <c r="C102">
        <v>13</v>
      </c>
      <c r="D102" t="s">
        <v>240</v>
      </c>
      <c r="E102" t="s">
        <v>61</v>
      </c>
      <c r="F102" t="s">
        <v>241</v>
      </c>
      <c r="G102" t="s">
        <v>36</v>
      </c>
      <c r="H102" t="s">
        <v>132</v>
      </c>
      <c r="I102" t="s">
        <v>133</v>
      </c>
      <c r="J102" t="s">
        <v>226</v>
      </c>
      <c r="K102" t="b">
        <v>1</v>
      </c>
      <c r="L102" t="s">
        <v>130</v>
      </c>
    </row>
    <row r="103" spans="1:12" hidden="1" x14ac:dyDescent="0.3">
      <c r="A103" t="s">
        <v>8</v>
      </c>
      <c r="B103" t="s">
        <v>223</v>
      </c>
      <c r="C103">
        <v>14</v>
      </c>
      <c r="D103" t="s">
        <v>242</v>
      </c>
      <c r="E103" t="s">
        <v>62</v>
      </c>
      <c r="F103" t="s">
        <v>62</v>
      </c>
      <c r="G103" t="s">
        <v>36</v>
      </c>
      <c r="H103" t="s">
        <v>132</v>
      </c>
      <c r="I103" t="s">
        <v>133</v>
      </c>
      <c r="J103" t="s">
        <v>226</v>
      </c>
      <c r="K103" t="b">
        <v>0</v>
      </c>
      <c r="L103" t="s">
        <v>130</v>
      </c>
    </row>
    <row r="104" spans="1:12" hidden="1" x14ac:dyDescent="0.3">
      <c r="A104" t="s">
        <v>8</v>
      </c>
      <c r="B104" t="s">
        <v>223</v>
      </c>
      <c r="C104">
        <v>15</v>
      </c>
      <c r="D104" t="s">
        <v>243</v>
      </c>
      <c r="E104" t="s">
        <v>53</v>
      </c>
      <c r="F104" t="s">
        <v>53</v>
      </c>
      <c r="G104" t="s">
        <v>36</v>
      </c>
      <c r="H104" t="s">
        <v>132</v>
      </c>
      <c r="I104" t="s">
        <v>133</v>
      </c>
      <c r="J104" t="s">
        <v>226</v>
      </c>
      <c r="K104" t="b">
        <v>0</v>
      </c>
      <c r="L104" t="s">
        <v>130</v>
      </c>
    </row>
    <row r="105" spans="1:12" hidden="1" x14ac:dyDescent="0.3">
      <c r="A105" t="s">
        <v>8</v>
      </c>
      <c r="B105" t="s">
        <v>223</v>
      </c>
      <c r="C105">
        <v>16</v>
      </c>
      <c r="D105" t="s">
        <v>244</v>
      </c>
      <c r="E105" t="s">
        <v>17</v>
      </c>
      <c r="F105" t="s">
        <v>17</v>
      </c>
      <c r="G105" t="s">
        <v>36</v>
      </c>
      <c r="H105" t="s">
        <v>132</v>
      </c>
      <c r="I105" t="s">
        <v>133</v>
      </c>
      <c r="J105" t="s">
        <v>226</v>
      </c>
      <c r="K105" t="b">
        <v>0</v>
      </c>
      <c r="L105" t="s">
        <v>130</v>
      </c>
    </row>
    <row r="106" spans="1:12" hidden="1" x14ac:dyDescent="0.3">
      <c r="A106" t="s">
        <v>8</v>
      </c>
      <c r="B106" t="s">
        <v>223</v>
      </c>
      <c r="C106">
        <v>17</v>
      </c>
      <c r="D106" t="s">
        <v>245</v>
      </c>
      <c r="E106" t="s">
        <v>60</v>
      </c>
      <c r="F106" t="s">
        <v>60</v>
      </c>
      <c r="G106" t="s">
        <v>36</v>
      </c>
      <c r="H106" t="s">
        <v>132</v>
      </c>
      <c r="I106" t="s">
        <v>133</v>
      </c>
      <c r="J106" t="s">
        <v>226</v>
      </c>
      <c r="K106" t="b">
        <v>0</v>
      </c>
      <c r="L106" t="s">
        <v>130</v>
      </c>
    </row>
    <row r="107" spans="1:12" hidden="1" x14ac:dyDescent="0.3">
      <c r="A107" t="s">
        <v>8</v>
      </c>
      <c r="B107" t="s">
        <v>223</v>
      </c>
      <c r="C107">
        <v>18</v>
      </c>
      <c r="D107" t="s">
        <v>246</v>
      </c>
      <c r="E107" t="s">
        <v>11</v>
      </c>
      <c r="F107" t="s">
        <v>11</v>
      </c>
      <c r="G107" t="s">
        <v>36</v>
      </c>
      <c r="H107" t="s">
        <v>132</v>
      </c>
      <c r="I107" t="s">
        <v>133</v>
      </c>
      <c r="J107" t="s">
        <v>226</v>
      </c>
      <c r="K107" t="b">
        <v>0</v>
      </c>
      <c r="L107" t="s">
        <v>130</v>
      </c>
    </row>
    <row r="108" spans="1:12" hidden="1" x14ac:dyDescent="0.3">
      <c r="A108" t="s">
        <v>8</v>
      </c>
      <c r="B108" t="s">
        <v>223</v>
      </c>
      <c r="C108">
        <v>19</v>
      </c>
      <c r="D108" t="s">
        <v>247</v>
      </c>
      <c r="E108" t="s">
        <v>55</v>
      </c>
      <c r="F108" t="s">
        <v>55</v>
      </c>
      <c r="G108" t="s">
        <v>36</v>
      </c>
      <c r="H108" t="s">
        <v>132</v>
      </c>
      <c r="I108" t="s">
        <v>133</v>
      </c>
      <c r="J108" t="s">
        <v>226</v>
      </c>
      <c r="K108" t="b">
        <v>0</v>
      </c>
      <c r="L108" t="s">
        <v>130</v>
      </c>
    </row>
    <row r="109" spans="1:12" hidden="1" x14ac:dyDescent="0.3">
      <c r="A109" t="s">
        <v>8</v>
      </c>
      <c r="B109" t="s">
        <v>223</v>
      </c>
      <c r="C109">
        <v>20</v>
      </c>
      <c r="D109" t="s">
        <v>248</v>
      </c>
      <c r="E109" t="s">
        <v>14</v>
      </c>
      <c r="F109" t="s">
        <v>146</v>
      </c>
      <c r="G109" t="s">
        <v>36</v>
      </c>
      <c r="H109" t="s">
        <v>132</v>
      </c>
      <c r="I109" t="s">
        <v>133</v>
      </c>
      <c r="J109" t="s">
        <v>226</v>
      </c>
      <c r="K109" t="b">
        <v>1</v>
      </c>
      <c r="L109" t="s">
        <v>130</v>
      </c>
    </row>
    <row r="110" spans="1:12" hidden="1" x14ac:dyDescent="0.3">
      <c r="A110" t="s">
        <v>8</v>
      </c>
      <c r="B110" t="s">
        <v>223</v>
      </c>
      <c r="C110">
        <v>21</v>
      </c>
      <c r="D110" t="s">
        <v>249</v>
      </c>
      <c r="E110" t="s">
        <v>66</v>
      </c>
      <c r="F110" t="s">
        <v>66</v>
      </c>
      <c r="G110" t="s">
        <v>36</v>
      </c>
      <c r="H110" t="s">
        <v>132</v>
      </c>
      <c r="I110" t="s">
        <v>133</v>
      </c>
      <c r="J110" t="s">
        <v>226</v>
      </c>
      <c r="K110" t="b">
        <v>0</v>
      </c>
      <c r="L110" t="s">
        <v>130</v>
      </c>
    </row>
    <row r="111" spans="1:12" hidden="1" x14ac:dyDescent="0.3">
      <c r="A111" t="s">
        <v>8</v>
      </c>
      <c r="B111" t="s">
        <v>223</v>
      </c>
      <c r="C111">
        <v>22</v>
      </c>
      <c r="D111" t="s">
        <v>250</v>
      </c>
      <c r="E111" t="s">
        <v>25</v>
      </c>
      <c r="F111" t="s">
        <v>25</v>
      </c>
      <c r="G111" t="s">
        <v>36</v>
      </c>
      <c r="H111" t="s">
        <v>132</v>
      </c>
      <c r="I111" t="s">
        <v>133</v>
      </c>
      <c r="J111" t="s">
        <v>226</v>
      </c>
      <c r="K111" t="b">
        <v>0</v>
      </c>
      <c r="L111" t="s">
        <v>130</v>
      </c>
    </row>
    <row r="112" spans="1:12" hidden="1" x14ac:dyDescent="0.3">
      <c r="A112" t="s">
        <v>8</v>
      </c>
      <c r="B112" t="s">
        <v>223</v>
      </c>
      <c r="C112">
        <v>23</v>
      </c>
      <c r="D112" t="s">
        <v>251</v>
      </c>
      <c r="E112" t="s">
        <v>26</v>
      </c>
      <c r="F112" t="s">
        <v>26</v>
      </c>
      <c r="G112" t="s">
        <v>36</v>
      </c>
      <c r="H112" t="s">
        <v>132</v>
      </c>
      <c r="I112" t="s">
        <v>133</v>
      </c>
      <c r="J112" t="s">
        <v>226</v>
      </c>
      <c r="K112" t="b">
        <v>0</v>
      </c>
      <c r="L112" t="s">
        <v>130</v>
      </c>
    </row>
    <row r="113" spans="1:12" hidden="1" x14ac:dyDescent="0.3">
      <c r="A113" t="s">
        <v>8</v>
      </c>
      <c r="B113" t="s">
        <v>223</v>
      </c>
      <c r="C113">
        <v>24</v>
      </c>
      <c r="D113" t="s">
        <v>252</v>
      </c>
      <c r="E113" t="s">
        <v>27</v>
      </c>
      <c r="F113" t="s">
        <v>27</v>
      </c>
      <c r="G113" t="s">
        <v>36</v>
      </c>
      <c r="H113" t="s">
        <v>132</v>
      </c>
      <c r="I113" t="s">
        <v>133</v>
      </c>
      <c r="J113" t="s">
        <v>226</v>
      </c>
      <c r="K113" t="b">
        <v>0</v>
      </c>
      <c r="L113" t="s">
        <v>130</v>
      </c>
    </row>
    <row r="114" spans="1:12" hidden="1" x14ac:dyDescent="0.3">
      <c r="A114" t="s">
        <v>8</v>
      </c>
      <c r="B114" t="s">
        <v>223</v>
      </c>
      <c r="C114">
        <v>25</v>
      </c>
      <c r="D114" t="s">
        <v>253</v>
      </c>
      <c r="E114" t="s">
        <v>47</v>
      </c>
      <c r="F114" t="s">
        <v>47</v>
      </c>
      <c r="G114" t="s">
        <v>36</v>
      </c>
      <c r="H114" t="s">
        <v>132</v>
      </c>
      <c r="I114" t="s">
        <v>133</v>
      </c>
      <c r="J114" t="s">
        <v>226</v>
      </c>
      <c r="K114" t="b">
        <v>0</v>
      </c>
      <c r="L114" t="s">
        <v>130</v>
      </c>
    </row>
    <row r="115" spans="1:12" hidden="1" x14ac:dyDescent="0.3">
      <c r="A115" t="s">
        <v>8</v>
      </c>
      <c r="B115" t="s">
        <v>223</v>
      </c>
      <c r="C115">
        <v>26</v>
      </c>
      <c r="D115" t="s">
        <v>254</v>
      </c>
      <c r="E115" t="s">
        <v>24</v>
      </c>
      <c r="F115" t="s">
        <v>24</v>
      </c>
      <c r="G115" t="s">
        <v>36</v>
      </c>
      <c r="H115" t="s">
        <v>132</v>
      </c>
      <c r="I115" t="s">
        <v>133</v>
      </c>
      <c r="J115" t="s">
        <v>226</v>
      </c>
      <c r="K115" t="b">
        <v>0</v>
      </c>
      <c r="L115" t="s">
        <v>130</v>
      </c>
    </row>
    <row r="116" spans="1:12" hidden="1" x14ac:dyDescent="0.3">
      <c r="A116" t="s">
        <v>8</v>
      </c>
      <c r="B116" t="s">
        <v>223</v>
      </c>
      <c r="C116">
        <v>27</v>
      </c>
      <c r="D116" t="s">
        <v>255</v>
      </c>
      <c r="E116" t="s">
        <v>65</v>
      </c>
      <c r="F116" t="s">
        <v>65</v>
      </c>
      <c r="G116" t="s">
        <v>36</v>
      </c>
      <c r="H116" t="s">
        <v>132</v>
      </c>
      <c r="I116" t="s">
        <v>133</v>
      </c>
      <c r="J116" t="s">
        <v>226</v>
      </c>
      <c r="K116" t="b">
        <v>0</v>
      </c>
      <c r="L116" t="s">
        <v>130</v>
      </c>
    </row>
    <row r="117" spans="1:12" hidden="1" x14ac:dyDescent="0.3">
      <c r="A117" t="s">
        <v>8</v>
      </c>
      <c r="B117" t="s">
        <v>223</v>
      </c>
      <c r="C117">
        <v>28</v>
      </c>
      <c r="D117" t="s">
        <v>256</v>
      </c>
      <c r="E117" t="s">
        <v>63</v>
      </c>
      <c r="F117" t="s">
        <v>257</v>
      </c>
      <c r="G117" t="s">
        <v>36</v>
      </c>
      <c r="H117" t="s">
        <v>132</v>
      </c>
      <c r="I117" t="s">
        <v>133</v>
      </c>
      <c r="J117" t="s">
        <v>226</v>
      </c>
      <c r="K117" t="b">
        <v>1</v>
      </c>
      <c r="L117" t="s">
        <v>130</v>
      </c>
    </row>
    <row r="118" spans="1:12" hidden="1" x14ac:dyDescent="0.3">
      <c r="A118" t="s">
        <v>8</v>
      </c>
      <c r="B118" t="s">
        <v>223</v>
      </c>
      <c r="C118">
        <v>29</v>
      </c>
      <c r="D118" t="s">
        <v>258</v>
      </c>
      <c r="E118" t="s">
        <v>57</v>
      </c>
      <c r="F118" t="s">
        <v>57</v>
      </c>
      <c r="G118" t="s">
        <v>36</v>
      </c>
      <c r="H118" t="s">
        <v>132</v>
      </c>
      <c r="I118" t="s">
        <v>133</v>
      </c>
      <c r="J118" t="s">
        <v>226</v>
      </c>
      <c r="K118" t="b">
        <v>0</v>
      </c>
      <c r="L118" t="s">
        <v>130</v>
      </c>
    </row>
    <row r="119" spans="1:12" hidden="1" x14ac:dyDescent="0.3">
      <c r="A119" t="s">
        <v>8</v>
      </c>
      <c r="B119" t="s">
        <v>223</v>
      </c>
      <c r="C119">
        <v>30</v>
      </c>
      <c r="D119" t="s">
        <v>259</v>
      </c>
      <c r="E119" t="s">
        <v>64</v>
      </c>
      <c r="F119" t="s">
        <v>64</v>
      </c>
      <c r="G119" t="s">
        <v>36</v>
      </c>
      <c r="H119" t="s">
        <v>132</v>
      </c>
      <c r="I119" t="s">
        <v>133</v>
      </c>
      <c r="J119" t="s">
        <v>226</v>
      </c>
      <c r="K119" t="b">
        <v>0</v>
      </c>
      <c r="L119" t="s">
        <v>130</v>
      </c>
    </row>
    <row r="120" spans="1:12" hidden="1" x14ac:dyDescent="0.3">
      <c r="A120" t="s">
        <v>8</v>
      </c>
      <c r="B120" t="s">
        <v>223</v>
      </c>
      <c r="C120">
        <v>31</v>
      </c>
      <c r="D120" t="s">
        <v>260</v>
      </c>
      <c r="E120" t="s">
        <v>13</v>
      </c>
      <c r="F120" t="s">
        <v>13</v>
      </c>
      <c r="G120" t="s">
        <v>36</v>
      </c>
      <c r="H120" t="s">
        <v>132</v>
      </c>
      <c r="I120" t="s">
        <v>133</v>
      </c>
      <c r="J120" t="s">
        <v>226</v>
      </c>
      <c r="K120" t="b">
        <v>0</v>
      </c>
      <c r="L120" t="s">
        <v>130</v>
      </c>
    </row>
    <row r="121" spans="1:12" hidden="1" x14ac:dyDescent="0.3">
      <c r="A121" t="s">
        <v>8</v>
      </c>
      <c r="B121" t="s">
        <v>223</v>
      </c>
      <c r="C121">
        <v>32</v>
      </c>
      <c r="D121" t="s">
        <v>261</v>
      </c>
      <c r="E121" t="s">
        <v>13</v>
      </c>
      <c r="F121" t="s">
        <v>13</v>
      </c>
      <c r="G121" t="s">
        <v>36</v>
      </c>
      <c r="H121" t="s">
        <v>132</v>
      </c>
      <c r="I121" t="s">
        <v>133</v>
      </c>
      <c r="J121" t="s">
        <v>226</v>
      </c>
      <c r="K121" t="b">
        <v>0</v>
      </c>
      <c r="L121" t="s">
        <v>130</v>
      </c>
    </row>
    <row r="122" spans="1:12" hidden="1" x14ac:dyDescent="0.3">
      <c r="A122" t="s">
        <v>8</v>
      </c>
      <c r="B122" t="s">
        <v>223</v>
      </c>
      <c r="C122">
        <v>33</v>
      </c>
      <c r="D122" t="s">
        <v>262</v>
      </c>
      <c r="E122" t="s">
        <v>72</v>
      </c>
      <c r="F122" t="s">
        <v>72</v>
      </c>
      <c r="G122" t="s">
        <v>36</v>
      </c>
      <c r="H122" t="s">
        <v>132</v>
      </c>
      <c r="I122" t="s">
        <v>133</v>
      </c>
      <c r="J122" t="s">
        <v>226</v>
      </c>
      <c r="K122" t="b">
        <v>0</v>
      </c>
      <c r="L122" t="s">
        <v>130</v>
      </c>
    </row>
    <row r="123" spans="1:12" hidden="1" x14ac:dyDescent="0.3">
      <c r="A123" t="s">
        <v>8</v>
      </c>
      <c r="B123" t="s">
        <v>223</v>
      </c>
      <c r="C123">
        <v>34</v>
      </c>
      <c r="D123" t="s">
        <v>263</v>
      </c>
      <c r="E123" t="s">
        <v>16</v>
      </c>
      <c r="F123" t="s">
        <v>155</v>
      </c>
      <c r="G123" t="s">
        <v>36</v>
      </c>
      <c r="H123" t="s">
        <v>132</v>
      </c>
      <c r="I123" t="s">
        <v>133</v>
      </c>
      <c r="J123" t="s">
        <v>226</v>
      </c>
      <c r="K123" t="b">
        <v>1</v>
      </c>
      <c r="L123" t="s">
        <v>130</v>
      </c>
    </row>
    <row r="124" spans="1:12" hidden="1" x14ac:dyDescent="0.3">
      <c r="A124" t="s">
        <v>8</v>
      </c>
      <c r="B124" t="s">
        <v>223</v>
      </c>
      <c r="C124">
        <v>35</v>
      </c>
      <c r="D124" t="s">
        <v>264</v>
      </c>
      <c r="E124" t="s">
        <v>18</v>
      </c>
      <c r="F124" t="s">
        <v>18</v>
      </c>
      <c r="G124" t="s">
        <v>36</v>
      </c>
      <c r="H124" t="s">
        <v>132</v>
      </c>
      <c r="I124" t="s">
        <v>133</v>
      </c>
      <c r="J124" t="s">
        <v>226</v>
      </c>
      <c r="K124" t="b">
        <v>0</v>
      </c>
      <c r="L124" t="s">
        <v>130</v>
      </c>
    </row>
    <row r="125" spans="1:12" hidden="1" x14ac:dyDescent="0.3">
      <c r="A125" t="s">
        <v>8</v>
      </c>
      <c r="B125" t="s">
        <v>223</v>
      </c>
      <c r="C125">
        <v>36</v>
      </c>
      <c r="D125" t="s">
        <v>265</v>
      </c>
      <c r="E125" t="s">
        <v>77</v>
      </c>
      <c r="F125" t="s">
        <v>77</v>
      </c>
      <c r="G125" t="s">
        <v>36</v>
      </c>
      <c r="H125" t="s">
        <v>132</v>
      </c>
      <c r="I125" t="s">
        <v>133</v>
      </c>
      <c r="J125" t="s">
        <v>226</v>
      </c>
      <c r="K125" t="b">
        <v>0</v>
      </c>
      <c r="L125" t="s">
        <v>130</v>
      </c>
    </row>
    <row r="126" spans="1:12" hidden="1" x14ac:dyDescent="0.3">
      <c r="A126" t="s">
        <v>8</v>
      </c>
      <c r="B126" t="s">
        <v>223</v>
      </c>
      <c r="C126">
        <v>37</v>
      </c>
      <c r="D126" t="s">
        <v>266</v>
      </c>
      <c r="E126" t="s">
        <v>119</v>
      </c>
      <c r="F126" t="s">
        <v>119</v>
      </c>
      <c r="G126" t="s">
        <v>38</v>
      </c>
      <c r="H126" t="s">
        <v>158</v>
      </c>
      <c r="I126" t="s">
        <v>133</v>
      </c>
      <c r="J126" t="s">
        <v>226</v>
      </c>
      <c r="K126" t="b">
        <v>0</v>
      </c>
      <c r="L126" t="s">
        <v>130</v>
      </c>
    </row>
    <row r="127" spans="1:12" hidden="1" x14ac:dyDescent="0.3">
      <c r="A127" t="s">
        <v>8</v>
      </c>
      <c r="B127" t="s">
        <v>223</v>
      </c>
      <c r="C127">
        <v>38</v>
      </c>
      <c r="D127" t="s">
        <v>267</v>
      </c>
      <c r="E127" t="s">
        <v>49</v>
      </c>
      <c r="F127" t="s">
        <v>49</v>
      </c>
      <c r="G127" t="s">
        <v>38</v>
      </c>
      <c r="H127" t="s">
        <v>158</v>
      </c>
      <c r="I127" t="s">
        <v>133</v>
      </c>
      <c r="J127" t="s">
        <v>226</v>
      </c>
      <c r="K127" t="b">
        <v>0</v>
      </c>
      <c r="L127" t="s">
        <v>130</v>
      </c>
    </row>
    <row r="128" spans="1:12" hidden="1" x14ac:dyDescent="0.3">
      <c r="A128" t="s">
        <v>8</v>
      </c>
      <c r="B128" t="s">
        <v>223</v>
      </c>
      <c r="C128">
        <v>39</v>
      </c>
      <c r="D128" t="s">
        <v>268</v>
      </c>
      <c r="E128" t="s">
        <v>37</v>
      </c>
      <c r="F128" t="s">
        <v>37</v>
      </c>
      <c r="G128" t="s">
        <v>38</v>
      </c>
      <c r="H128" t="s">
        <v>158</v>
      </c>
      <c r="I128" t="s">
        <v>133</v>
      </c>
      <c r="J128" t="s">
        <v>226</v>
      </c>
      <c r="K128" t="b">
        <v>0</v>
      </c>
      <c r="L128" t="s">
        <v>130</v>
      </c>
    </row>
    <row r="129" spans="1:12" hidden="1" x14ac:dyDescent="0.3">
      <c r="A129" t="s">
        <v>8</v>
      </c>
      <c r="B129" t="s">
        <v>223</v>
      </c>
      <c r="C129">
        <v>40</v>
      </c>
      <c r="D129" t="s">
        <v>269</v>
      </c>
      <c r="E129" t="s">
        <v>40</v>
      </c>
      <c r="F129" t="s">
        <v>40</v>
      </c>
      <c r="G129" t="s">
        <v>38</v>
      </c>
      <c r="H129" t="s">
        <v>158</v>
      </c>
      <c r="I129" t="s">
        <v>133</v>
      </c>
      <c r="J129" t="s">
        <v>226</v>
      </c>
      <c r="K129" t="b">
        <v>0</v>
      </c>
      <c r="L129" t="s">
        <v>130</v>
      </c>
    </row>
    <row r="130" spans="1:12" hidden="1" x14ac:dyDescent="0.3">
      <c r="A130" t="s">
        <v>8</v>
      </c>
      <c r="B130" t="s">
        <v>223</v>
      </c>
      <c r="C130">
        <v>41</v>
      </c>
      <c r="D130" t="s">
        <v>270</v>
      </c>
      <c r="E130" t="s">
        <v>41</v>
      </c>
      <c r="F130" t="s">
        <v>41</v>
      </c>
      <c r="G130" t="s">
        <v>38</v>
      </c>
      <c r="H130" t="s">
        <v>158</v>
      </c>
      <c r="I130" t="s">
        <v>133</v>
      </c>
      <c r="J130" t="s">
        <v>226</v>
      </c>
      <c r="K130" t="b">
        <v>0</v>
      </c>
      <c r="L130" t="s">
        <v>130</v>
      </c>
    </row>
    <row r="131" spans="1:12" hidden="1" x14ac:dyDescent="0.3">
      <c r="A131" t="s">
        <v>8</v>
      </c>
      <c r="B131" t="s">
        <v>223</v>
      </c>
      <c r="C131">
        <v>42</v>
      </c>
      <c r="D131" t="s">
        <v>271</v>
      </c>
      <c r="E131" t="s">
        <v>120</v>
      </c>
      <c r="F131" t="s">
        <v>120</v>
      </c>
      <c r="G131" t="s">
        <v>38</v>
      </c>
      <c r="H131" t="s">
        <v>158</v>
      </c>
      <c r="I131" t="s">
        <v>133</v>
      </c>
      <c r="J131" t="s">
        <v>226</v>
      </c>
      <c r="K131" t="b">
        <v>0</v>
      </c>
      <c r="L131" t="s">
        <v>130</v>
      </c>
    </row>
    <row r="132" spans="1:12" hidden="1" x14ac:dyDescent="0.3">
      <c r="A132" t="s">
        <v>8</v>
      </c>
      <c r="B132" t="s">
        <v>223</v>
      </c>
      <c r="C132">
        <v>43</v>
      </c>
      <c r="D132" t="s">
        <v>272</v>
      </c>
      <c r="E132" t="s">
        <v>39</v>
      </c>
      <c r="F132" t="s">
        <v>39</v>
      </c>
      <c r="G132" t="s">
        <v>38</v>
      </c>
      <c r="H132" t="s">
        <v>158</v>
      </c>
      <c r="I132" t="s">
        <v>133</v>
      </c>
      <c r="J132" t="s">
        <v>226</v>
      </c>
      <c r="K132" t="b">
        <v>0</v>
      </c>
      <c r="L132" t="s">
        <v>130</v>
      </c>
    </row>
    <row r="133" spans="1:12" hidden="1" x14ac:dyDescent="0.3">
      <c r="A133" t="s">
        <v>8</v>
      </c>
      <c r="B133" t="s">
        <v>223</v>
      </c>
      <c r="C133">
        <v>44</v>
      </c>
      <c r="D133" t="s">
        <v>273</v>
      </c>
      <c r="E133" t="s">
        <v>123</v>
      </c>
      <c r="F133" t="s">
        <v>123</v>
      </c>
      <c r="G133" t="s">
        <v>118</v>
      </c>
      <c r="H133" t="s">
        <v>274</v>
      </c>
      <c r="I133" t="s">
        <v>133</v>
      </c>
      <c r="J133" t="s">
        <v>226</v>
      </c>
      <c r="K133" t="b">
        <v>0</v>
      </c>
      <c r="L133" t="s">
        <v>130</v>
      </c>
    </row>
    <row r="134" spans="1:12" hidden="1" x14ac:dyDescent="0.3">
      <c r="A134" t="s">
        <v>8</v>
      </c>
      <c r="B134" t="s">
        <v>223</v>
      </c>
      <c r="C134">
        <v>45</v>
      </c>
      <c r="D134" t="s">
        <v>275</v>
      </c>
      <c r="E134" t="s">
        <v>115</v>
      </c>
      <c r="F134" t="s">
        <v>115</v>
      </c>
      <c r="G134" t="s">
        <v>118</v>
      </c>
      <c r="H134" t="s">
        <v>274</v>
      </c>
      <c r="I134" t="s">
        <v>133</v>
      </c>
      <c r="J134" t="s">
        <v>226</v>
      </c>
      <c r="K134" t="b">
        <v>0</v>
      </c>
      <c r="L134" t="s">
        <v>130</v>
      </c>
    </row>
    <row r="135" spans="1:12" hidden="1" x14ac:dyDescent="0.3">
      <c r="A135" t="s">
        <v>8</v>
      </c>
      <c r="B135" t="s">
        <v>223</v>
      </c>
      <c r="C135">
        <v>46</v>
      </c>
      <c r="D135" t="s">
        <v>276</v>
      </c>
      <c r="E135" t="s">
        <v>116</v>
      </c>
      <c r="F135" t="s">
        <v>116</v>
      </c>
      <c r="G135" t="s">
        <v>118</v>
      </c>
      <c r="H135" t="s">
        <v>274</v>
      </c>
      <c r="I135" t="s">
        <v>133</v>
      </c>
      <c r="J135" t="s">
        <v>226</v>
      </c>
      <c r="K135" t="b">
        <v>0</v>
      </c>
      <c r="L135" t="s">
        <v>130</v>
      </c>
    </row>
    <row r="136" spans="1:12" hidden="1" x14ac:dyDescent="0.3">
      <c r="A136" t="s">
        <v>8</v>
      </c>
      <c r="B136" t="s">
        <v>223</v>
      </c>
      <c r="C136">
        <v>47</v>
      </c>
      <c r="D136" t="s">
        <v>277</v>
      </c>
      <c r="E136" t="s">
        <v>117</v>
      </c>
      <c r="F136" t="s">
        <v>117</v>
      </c>
      <c r="G136" t="s">
        <v>118</v>
      </c>
      <c r="H136" t="s">
        <v>274</v>
      </c>
      <c r="I136" t="s">
        <v>133</v>
      </c>
      <c r="J136" t="s">
        <v>226</v>
      </c>
      <c r="K136" t="b">
        <v>0</v>
      </c>
      <c r="L136" t="s">
        <v>130</v>
      </c>
    </row>
    <row r="137" spans="1:12" hidden="1" x14ac:dyDescent="0.3">
      <c r="A137" t="s">
        <v>8</v>
      </c>
      <c r="B137" t="s">
        <v>223</v>
      </c>
      <c r="C137">
        <v>48</v>
      </c>
      <c r="D137" t="s">
        <v>278</v>
      </c>
      <c r="E137" t="s">
        <v>81</v>
      </c>
      <c r="F137" t="s">
        <v>81</v>
      </c>
      <c r="G137" t="s">
        <v>85</v>
      </c>
      <c r="H137" t="s">
        <v>279</v>
      </c>
      <c r="I137" t="s">
        <v>133</v>
      </c>
      <c r="J137" t="s">
        <v>226</v>
      </c>
      <c r="K137" t="b">
        <v>0</v>
      </c>
      <c r="L137" t="s">
        <v>130</v>
      </c>
    </row>
    <row r="138" spans="1:12" hidden="1" x14ac:dyDescent="0.3">
      <c r="A138" t="s">
        <v>8</v>
      </c>
      <c r="B138" t="s">
        <v>223</v>
      </c>
      <c r="C138">
        <v>49</v>
      </c>
      <c r="D138" t="s">
        <v>280</v>
      </c>
      <c r="E138" t="s">
        <v>68</v>
      </c>
      <c r="F138" t="s">
        <v>68</v>
      </c>
      <c r="G138" t="s">
        <v>85</v>
      </c>
      <c r="H138" t="s">
        <v>279</v>
      </c>
      <c r="I138" t="s">
        <v>133</v>
      </c>
      <c r="J138" t="s">
        <v>226</v>
      </c>
      <c r="K138" t="b">
        <v>0</v>
      </c>
      <c r="L138" t="s">
        <v>130</v>
      </c>
    </row>
    <row r="139" spans="1:12" hidden="1" x14ac:dyDescent="0.3">
      <c r="A139" t="s">
        <v>8</v>
      </c>
      <c r="B139" t="s">
        <v>223</v>
      </c>
      <c r="C139">
        <v>50</v>
      </c>
      <c r="D139" t="s">
        <v>281</v>
      </c>
      <c r="E139" t="s">
        <v>82</v>
      </c>
      <c r="F139" t="s">
        <v>82</v>
      </c>
      <c r="G139" t="s">
        <v>85</v>
      </c>
      <c r="H139" t="s">
        <v>279</v>
      </c>
      <c r="I139" t="s">
        <v>133</v>
      </c>
      <c r="J139" t="s">
        <v>226</v>
      </c>
      <c r="K139" t="b">
        <v>0</v>
      </c>
      <c r="L139" t="s">
        <v>130</v>
      </c>
    </row>
    <row r="140" spans="1:12" hidden="1" x14ac:dyDescent="0.3">
      <c r="A140" t="s">
        <v>8</v>
      </c>
      <c r="B140" t="s">
        <v>223</v>
      </c>
      <c r="C140">
        <v>51</v>
      </c>
      <c r="D140" t="s">
        <v>282</v>
      </c>
      <c r="E140" t="s">
        <v>67</v>
      </c>
      <c r="F140" t="s">
        <v>67</v>
      </c>
      <c r="G140" t="s">
        <v>85</v>
      </c>
      <c r="H140" t="s">
        <v>279</v>
      </c>
      <c r="I140" t="s">
        <v>133</v>
      </c>
      <c r="J140" t="s">
        <v>226</v>
      </c>
      <c r="K140" t="b">
        <v>0</v>
      </c>
      <c r="L140" t="s">
        <v>130</v>
      </c>
    </row>
    <row r="141" spans="1:12" hidden="1" x14ac:dyDescent="0.3">
      <c r="A141" t="s">
        <v>8</v>
      </c>
      <c r="B141" t="s">
        <v>223</v>
      </c>
      <c r="C141">
        <v>52</v>
      </c>
      <c r="D141" t="s">
        <v>283</v>
      </c>
      <c r="E141" t="s">
        <v>83</v>
      </c>
      <c r="F141" t="s">
        <v>83</v>
      </c>
      <c r="G141" t="s">
        <v>85</v>
      </c>
      <c r="H141" t="s">
        <v>279</v>
      </c>
      <c r="I141" t="s">
        <v>133</v>
      </c>
      <c r="J141" t="s">
        <v>226</v>
      </c>
      <c r="K141" t="b">
        <v>0</v>
      </c>
      <c r="L141" t="s">
        <v>130</v>
      </c>
    </row>
    <row r="142" spans="1:12" hidden="1" x14ac:dyDescent="0.3">
      <c r="A142" t="s">
        <v>8</v>
      </c>
      <c r="B142" t="s">
        <v>223</v>
      </c>
      <c r="C142">
        <v>53</v>
      </c>
      <c r="D142" t="s">
        <v>284</v>
      </c>
      <c r="E142" t="s">
        <v>64</v>
      </c>
      <c r="F142" t="s">
        <v>64</v>
      </c>
      <c r="G142" t="s">
        <v>85</v>
      </c>
      <c r="H142" t="s">
        <v>279</v>
      </c>
      <c r="I142" t="s">
        <v>133</v>
      </c>
      <c r="J142" t="s">
        <v>226</v>
      </c>
      <c r="K142" t="b">
        <v>0</v>
      </c>
      <c r="L142" t="s">
        <v>130</v>
      </c>
    </row>
    <row r="143" spans="1:12" hidden="1" x14ac:dyDescent="0.3">
      <c r="A143" t="s">
        <v>8</v>
      </c>
      <c r="B143" t="s">
        <v>223</v>
      </c>
      <c r="C143">
        <v>54</v>
      </c>
      <c r="D143" t="s">
        <v>285</v>
      </c>
      <c r="E143" t="s">
        <v>54</v>
      </c>
      <c r="F143" t="s">
        <v>54</v>
      </c>
      <c r="G143" t="s">
        <v>85</v>
      </c>
      <c r="H143" t="s">
        <v>279</v>
      </c>
      <c r="I143" t="s">
        <v>133</v>
      </c>
      <c r="J143" t="s">
        <v>226</v>
      </c>
      <c r="K143" t="b">
        <v>0</v>
      </c>
      <c r="L143" t="s">
        <v>130</v>
      </c>
    </row>
    <row r="144" spans="1:12" hidden="1" x14ac:dyDescent="0.3">
      <c r="A144" t="s">
        <v>8</v>
      </c>
      <c r="B144" t="s">
        <v>223</v>
      </c>
      <c r="C144">
        <v>55</v>
      </c>
      <c r="D144" t="s">
        <v>286</v>
      </c>
      <c r="E144" t="s">
        <v>84</v>
      </c>
      <c r="F144" t="s">
        <v>84</v>
      </c>
      <c r="G144" t="s">
        <v>85</v>
      </c>
      <c r="H144" t="s">
        <v>279</v>
      </c>
      <c r="I144" t="s">
        <v>133</v>
      </c>
      <c r="J144" t="s">
        <v>226</v>
      </c>
      <c r="K144" t="b">
        <v>0</v>
      </c>
      <c r="L144" t="s">
        <v>130</v>
      </c>
    </row>
    <row r="145" spans="1:12" hidden="1" x14ac:dyDescent="0.3">
      <c r="A145" t="s">
        <v>8</v>
      </c>
      <c r="B145" t="s">
        <v>223</v>
      </c>
      <c r="C145">
        <v>56</v>
      </c>
      <c r="D145" t="s">
        <v>287</v>
      </c>
      <c r="E145" t="s">
        <v>69</v>
      </c>
      <c r="F145" t="s">
        <v>69</v>
      </c>
      <c r="G145" t="s">
        <v>85</v>
      </c>
      <c r="H145" t="s">
        <v>279</v>
      </c>
      <c r="I145" t="s">
        <v>133</v>
      </c>
      <c r="J145" t="s">
        <v>226</v>
      </c>
      <c r="K145" t="b">
        <v>0</v>
      </c>
      <c r="L145" t="s">
        <v>130</v>
      </c>
    </row>
    <row r="146" spans="1:12" hidden="1" x14ac:dyDescent="0.3">
      <c r="A146" t="s">
        <v>8</v>
      </c>
      <c r="B146" t="s">
        <v>223</v>
      </c>
      <c r="C146">
        <v>57</v>
      </c>
      <c r="D146" t="s">
        <v>288</v>
      </c>
      <c r="E146" t="s">
        <v>94</v>
      </c>
      <c r="F146" t="s">
        <v>94</v>
      </c>
      <c r="G146" t="s">
        <v>108</v>
      </c>
      <c r="H146" t="s">
        <v>289</v>
      </c>
      <c r="I146" t="s">
        <v>133</v>
      </c>
      <c r="J146" t="s">
        <v>226</v>
      </c>
      <c r="K146" t="b">
        <v>0</v>
      </c>
      <c r="L146" t="s">
        <v>130</v>
      </c>
    </row>
    <row r="147" spans="1:12" hidden="1" x14ac:dyDescent="0.3">
      <c r="A147" t="s">
        <v>8</v>
      </c>
      <c r="B147" t="s">
        <v>223</v>
      </c>
      <c r="C147">
        <v>58</v>
      </c>
      <c r="D147" t="s">
        <v>290</v>
      </c>
      <c r="E147" t="s">
        <v>95</v>
      </c>
      <c r="F147" t="s">
        <v>95</v>
      </c>
      <c r="G147" t="s">
        <v>108</v>
      </c>
      <c r="H147" t="s">
        <v>289</v>
      </c>
      <c r="I147" t="s">
        <v>133</v>
      </c>
      <c r="J147" t="s">
        <v>226</v>
      </c>
      <c r="K147" t="b">
        <v>0</v>
      </c>
      <c r="L147" t="s">
        <v>130</v>
      </c>
    </row>
    <row r="148" spans="1:12" hidden="1" x14ac:dyDescent="0.3">
      <c r="A148" t="s">
        <v>8</v>
      </c>
      <c r="B148" t="s">
        <v>223</v>
      </c>
      <c r="C148">
        <v>59</v>
      </c>
      <c r="D148" t="s">
        <v>291</v>
      </c>
      <c r="E148" t="s">
        <v>96</v>
      </c>
      <c r="F148" t="s">
        <v>96</v>
      </c>
      <c r="G148" t="s">
        <v>108</v>
      </c>
      <c r="H148" t="s">
        <v>289</v>
      </c>
      <c r="I148" t="s">
        <v>133</v>
      </c>
      <c r="J148" t="s">
        <v>226</v>
      </c>
      <c r="K148" t="b">
        <v>0</v>
      </c>
      <c r="L148" t="s">
        <v>130</v>
      </c>
    </row>
    <row r="149" spans="1:12" hidden="1" x14ac:dyDescent="0.3">
      <c r="A149" t="s">
        <v>8</v>
      </c>
      <c r="B149" t="s">
        <v>223</v>
      </c>
      <c r="C149">
        <v>60</v>
      </c>
      <c r="D149" t="s">
        <v>292</v>
      </c>
      <c r="E149" t="s">
        <v>86</v>
      </c>
      <c r="F149" t="s">
        <v>86</v>
      </c>
      <c r="G149" t="s">
        <v>108</v>
      </c>
      <c r="H149" t="s">
        <v>289</v>
      </c>
      <c r="I149" t="s">
        <v>133</v>
      </c>
      <c r="J149" t="s">
        <v>226</v>
      </c>
      <c r="K149" t="b">
        <v>0</v>
      </c>
      <c r="L149" t="s">
        <v>130</v>
      </c>
    </row>
    <row r="150" spans="1:12" hidden="1" x14ac:dyDescent="0.3">
      <c r="A150" t="s">
        <v>8</v>
      </c>
      <c r="B150" t="s">
        <v>223</v>
      </c>
      <c r="C150">
        <v>61</v>
      </c>
      <c r="D150" t="s">
        <v>293</v>
      </c>
      <c r="E150" t="s">
        <v>87</v>
      </c>
      <c r="F150" t="s">
        <v>87</v>
      </c>
      <c r="G150" t="s">
        <v>108</v>
      </c>
      <c r="H150" t="s">
        <v>289</v>
      </c>
      <c r="I150" t="s">
        <v>133</v>
      </c>
      <c r="J150" t="s">
        <v>226</v>
      </c>
      <c r="K150" t="b">
        <v>0</v>
      </c>
      <c r="L150" t="s">
        <v>130</v>
      </c>
    </row>
    <row r="151" spans="1:12" hidden="1" x14ac:dyDescent="0.3">
      <c r="A151" t="s">
        <v>8</v>
      </c>
      <c r="B151" t="s">
        <v>223</v>
      </c>
      <c r="C151">
        <v>62</v>
      </c>
      <c r="D151" t="s">
        <v>294</v>
      </c>
      <c r="E151" t="s">
        <v>97</v>
      </c>
      <c r="F151" t="s">
        <v>97</v>
      </c>
      <c r="G151" t="s">
        <v>108</v>
      </c>
      <c r="H151" t="s">
        <v>289</v>
      </c>
      <c r="I151" t="s">
        <v>133</v>
      </c>
      <c r="J151" t="s">
        <v>226</v>
      </c>
      <c r="K151" t="b">
        <v>0</v>
      </c>
      <c r="L151" t="s">
        <v>130</v>
      </c>
    </row>
    <row r="152" spans="1:12" hidden="1" x14ac:dyDescent="0.3">
      <c r="A152" t="s">
        <v>8</v>
      </c>
      <c r="B152" t="s">
        <v>223</v>
      </c>
      <c r="C152">
        <v>63</v>
      </c>
      <c r="D152" t="s">
        <v>295</v>
      </c>
      <c r="E152" t="s">
        <v>98</v>
      </c>
      <c r="F152" t="s">
        <v>98</v>
      </c>
      <c r="G152" t="s">
        <v>108</v>
      </c>
      <c r="H152" t="s">
        <v>289</v>
      </c>
      <c r="I152" t="s">
        <v>133</v>
      </c>
      <c r="J152" t="s">
        <v>226</v>
      </c>
      <c r="K152" t="b">
        <v>0</v>
      </c>
      <c r="L152" t="s">
        <v>130</v>
      </c>
    </row>
    <row r="153" spans="1:12" hidden="1" x14ac:dyDescent="0.3">
      <c r="A153" t="s">
        <v>8</v>
      </c>
      <c r="B153" t="s">
        <v>223</v>
      </c>
      <c r="C153">
        <v>64</v>
      </c>
      <c r="D153" t="s">
        <v>296</v>
      </c>
      <c r="E153" t="s">
        <v>88</v>
      </c>
      <c r="F153" t="s">
        <v>88</v>
      </c>
      <c r="G153" t="s">
        <v>108</v>
      </c>
      <c r="H153" t="s">
        <v>289</v>
      </c>
      <c r="I153" t="s">
        <v>133</v>
      </c>
      <c r="J153" t="s">
        <v>226</v>
      </c>
      <c r="K153" t="b">
        <v>0</v>
      </c>
      <c r="L153" t="s">
        <v>130</v>
      </c>
    </row>
    <row r="154" spans="1:12" hidden="1" x14ac:dyDescent="0.3">
      <c r="A154" t="s">
        <v>8</v>
      </c>
      <c r="B154" t="s">
        <v>223</v>
      </c>
      <c r="C154">
        <v>65</v>
      </c>
      <c r="D154" t="s">
        <v>297</v>
      </c>
      <c r="E154" t="s">
        <v>89</v>
      </c>
      <c r="F154" t="s">
        <v>89</v>
      </c>
      <c r="G154" t="s">
        <v>108</v>
      </c>
      <c r="H154" t="s">
        <v>289</v>
      </c>
      <c r="I154" t="s">
        <v>133</v>
      </c>
      <c r="J154" t="s">
        <v>226</v>
      </c>
      <c r="K154" t="b">
        <v>0</v>
      </c>
      <c r="L154" t="s">
        <v>130</v>
      </c>
    </row>
    <row r="155" spans="1:12" hidden="1" x14ac:dyDescent="0.3">
      <c r="A155" t="s">
        <v>8</v>
      </c>
      <c r="B155" t="s">
        <v>223</v>
      </c>
      <c r="C155">
        <v>66</v>
      </c>
      <c r="D155" t="s">
        <v>298</v>
      </c>
      <c r="E155" t="s">
        <v>89</v>
      </c>
      <c r="F155" t="s">
        <v>89</v>
      </c>
      <c r="G155" t="s">
        <v>108</v>
      </c>
      <c r="H155" t="s">
        <v>289</v>
      </c>
      <c r="I155" t="s">
        <v>133</v>
      </c>
      <c r="J155" t="s">
        <v>226</v>
      </c>
      <c r="K155" t="b">
        <v>0</v>
      </c>
      <c r="L155" t="s">
        <v>130</v>
      </c>
    </row>
    <row r="156" spans="1:12" hidden="1" x14ac:dyDescent="0.3">
      <c r="A156" t="s">
        <v>8</v>
      </c>
      <c r="B156" t="s">
        <v>223</v>
      </c>
      <c r="C156">
        <v>67</v>
      </c>
      <c r="D156" t="s">
        <v>299</v>
      </c>
      <c r="E156" t="s">
        <v>100</v>
      </c>
      <c r="F156" t="s">
        <v>100</v>
      </c>
      <c r="G156" t="s">
        <v>108</v>
      </c>
      <c r="H156" t="s">
        <v>289</v>
      </c>
      <c r="I156" t="s">
        <v>133</v>
      </c>
      <c r="J156" t="s">
        <v>226</v>
      </c>
      <c r="K156" t="b">
        <v>0</v>
      </c>
      <c r="L156" t="s">
        <v>130</v>
      </c>
    </row>
    <row r="157" spans="1:12" hidden="1" x14ac:dyDescent="0.3">
      <c r="A157" t="s">
        <v>8</v>
      </c>
      <c r="B157" t="s">
        <v>223</v>
      </c>
      <c r="C157">
        <v>68</v>
      </c>
      <c r="D157" t="s">
        <v>300</v>
      </c>
      <c r="E157" t="s">
        <v>99</v>
      </c>
      <c r="F157" t="s">
        <v>99</v>
      </c>
      <c r="G157" t="s">
        <v>108</v>
      </c>
      <c r="H157" t="s">
        <v>289</v>
      </c>
      <c r="I157" t="s">
        <v>133</v>
      </c>
      <c r="J157" t="s">
        <v>226</v>
      </c>
      <c r="K157" t="b">
        <v>0</v>
      </c>
      <c r="L157" t="s">
        <v>130</v>
      </c>
    </row>
    <row r="158" spans="1:12" hidden="1" x14ac:dyDescent="0.3">
      <c r="A158" t="s">
        <v>8</v>
      </c>
      <c r="B158" t="s">
        <v>223</v>
      </c>
      <c r="C158">
        <v>69</v>
      </c>
      <c r="D158" t="s">
        <v>301</v>
      </c>
      <c r="E158" t="s">
        <v>90</v>
      </c>
      <c r="F158" t="s">
        <v>90</v>
      </c>
      <c r="G158" t="s">
        <v>108</v>
      </c>
      <c r="H158" t="s">
        <v>289</v>
      </c>
      <c r="I158" t="s">
        <v>133</v>
      </c>
      <c r="J158" t="s">
        <v>226</v>
      </c>
      <c r="K158" t="b">
        <v>0</v>
      </c>
      <c r="L158" t="s">
        <v>130</v>
      </c>
    </row>
    <row r="159" spans="1:12" hidden="1" x14ac:dyDescent="0.3">
      <c r="A159" t="s">
        <v>8</v>
      </c>
      <c r="B159" t="s">
        <v>223</v>
      </c>
      <c r="C159">
        <v>70</v>
      </c>
      <c r="D159" t="s">
        <v>302</v>
      </c>
      <c r="E159" t="s">
        <v>101</v>
      </c>
      <c r="F159" t="s">
        <v>101</v>
      </c>
      <c r="G159" t="s">
        <v>108</v>
      </c>
      <c r="H159" t="s">
        <v>289</v>
      </c>
      <c r="I159" t="s">
        <v>133</v>
      </c>
      <c r="J159" t="s">
        <v>226</v>
      </c>
      <c r="K159" t="b">
        <v>0</v>
      </c>
      <c r="L159" t="s">
        <v>130</v>
      </c>
    </row>
    <row r="160" spans="1:12" hidden="1" x14ac:dyDescent="0.3">
      <c r="A160" t="s">
        <v>8</v>
      </c>
      <c r="B160" t="s">
        <v>223</v>
      </c>
      <c r="C160">
        <v>71</v>
      </c>
      <c r="D160" t="s">
        <v>303</v>
      </c>
      <c r="E160" t="s">
        <v>102</v>
      </c>
      <c r="F160" t="s">
        <v>102</v>
      </c>
      <c r="G160" t="s">
        <v>108</v>
      </c>
      <c r="H160" t="s">
        <v>289</v>
      </c>
      <c r="I160" t="s">
        <v>133</v>
      </c>
      <c r="J160" t="s">
        <v>226</v>
      </c>
      <c r="K160" t="b">
        <v>0</v>
      </c>
      <c r="L160" t="s">
        <v>130</v>
      </c>
    </row>
    <row r="161" spans="1:12" hidden="1" x14ac:dyDescent="0.3">
      <c r="A161" t="s">
        <v>8</v>
      </c>
      <c r="B161" t="s">
        <v>223</v>
      </c>
      <c r="C161">
        <v>72</v>
      </c>
      <c r="D161" t="s">
        <v>304</v>
      </c>
      <c r="E161" t="s">
        <v>103</v>
      </c>
      <c r="F161" t="s">
        <v>103</v>
      </c>
      <c r="G161" t="s">
        <v>108</v>
      </c>
      <c r="H161" t="s">
        <v>289</v>
      </c>
      <c r="I161" t="s">
        <v>133</v>
      </c>
      <c r="J161" t="s">
        <v>226</v>
      </c>
      <c r="K161" t="b">
        <v>0</v>
      </c>
      <c r="L161" t="s">
        <v>130</v>
      </c>
    </row>
    <row r="162" spans="1:12" hidden="1" x14ac:dyDescent="0.3">
      <c r="A162" t="s">
        <v>8</v>
      </c>
      <c r="B162" t="s">
        <v>223</v>
      </c>
      <c r="C162">
        <v>73</v>
      </c>
      <c r="D162" t="s">
        <v>305</v>
      </c>
      <c r="E162" t="s">
        <v>104</v>
      </c>
      <c r="F162" t="s">
        <v>104</v>
      </c>
      <c r="G162" t="s">
        <v>108</v>
      </c>
      <c r="H162" t="s">
        <v>289</v>
      </c>
      <c r="I162" t="s">
        <v>133</v>
      </c>
      <c r="J162" t="s">
        <v>226</v>
      </c>
      <c r="K162" t="b">
        <v>0</v>
      </c>
      <c r="L162" t="s">
        <v>130</v>
      </c>
    </row>
    <row r="163" spans="1:12" hidden="1" x14ac:dyDescent="0.3">
      <c r="A163" t="s">
        <v>8</v>
      </c>
      <c r="B163" t="s">
        <v>223</v>
      </c>
      <c r="C163">
        <v>74</v>
      </c>
      <c r="D163" t="s">
        <v>306</v>
      </c>
      <c r="E163" t="s">
        <v>105</v>
      </c>
      <c r="F163" t="s">
        <v>105</v>
      </c>
      <c r="G163" t="s">
        <v>108</v>
      </c>
      <c r="H163" t="s">
        <v>289</v>
      </c>
      <c r="I163" t="s">
        <v>133</v>
      </c>
      <c r="J163" t="s">
        <v>226</v>
      </c>
      <c r="K163" t="b">
        <v>0</v>
      </c>
      <c r="L163" t="s">
        <v>130</v>
      </c>
    </row>
    <row r="164" spans="1:12" hidden="1" x14ac:dyDescent="0.3">
      <c r="A164" t="s">
        <v>8</v>
      </c>
      <c r="B164" t="s">
        <v>223</v>
      </c>
      <c r="C164">
        <v>75</v>
      </c>
      <c r="D164" t="s">
        <v>307</v>
      </c>
      <c r="E164" t="s">
        <v>91</v>
      </c>
      <c r="F164" t="s">
        <v>91</v>
      </c>
      <c r="G164" t="s">
        <v>108</v>
      </c>
      <c r="H164" t="s">
        <v>289</v>
      </c>
      <c r="I164" t="s">
        <v>133</v>
      </c>
      <c r="J164" t="s">
        <v>226</v>
      </c>
      <c r="K164" t="b">
        <v>0</v>
      </c>
      <c r="L164" t="s">
        <v>130</v>
      </c>
    </row>
    <row r="165" spans="1:12" hidden="1" x14ac:dyDescent="0.3">
      <c r="A165" t="s">
        <v>8</v>
      </c>
      <c r="B165" t="s">
        <v>223</v>
      </c>
      <c r="C165">
        <v>76</v>
      </c>
      <c r="D165" t="s">
        <v>308</v>
      </c>
      <c r="E165" t="s">
        <v>91</v>
      </c>
      <c r="F165" t="s">
        <v>91</v>
      </c>
      <c r="G165" t="s">
        <v>108</v>
      </c>
      <c r="H165" t="s">
        <v>289</v>
      </c>
      <c r="I165" t="s">
        <v>133</v>
      </c>
      <c r="J165" t="s">
        <v>226</v>
      </c>
      <c r="K165" t="b">
        <v>0</v>
      </c>
      <c r="L165" t="s">
        <v>130</v>
      </c>
    </row>
    <row r="166" spans="1:12" hidden="1" x14ac:dyDescent="0.3">
      <c r="A166" t="s">
        <v>8</v>
      </c>
      <c r="B166" t="s">
        <v>223</v>
      </c>
      <c r="C166">
        <v>77</v>
      </c>
      <c r="D166" t="s">
        <v>309</v>
      </c>
      <c r="E166" t="s">
        <v>92</v>
      </c>
      <c r="F166" t="s">
        <v>92</v>
      </c>
      <c r="G166" t="s">
        <v>108</v>
      </c>
      <c r="H166" t="s">
        <v>289</v>
      </c>
      <c r="I166" t="s">
        <v>133</v>
      </c>
      <c r="J166" t="s">
        <v>226</v>
      </c>
      <c r="K166" t="b">
        <v>0</v>
      </c>
      <c r="L166" t="s">
        <v>130</v>
      </c>
    </row>
    <row r="167" spans="1:12" hidden="1" x14ac:dyDescent="0.3">
      <c r="A167" t="s">
        <v>8</v>
      </c>
      <c r="B167" t="s">
        <v>223</v>
      </c>
      <c r="C167">
        <v>78</v>
      </c>
      <c r="D167" t="s">
        <v>310</v>
      </c>
      <c r="E167" t="s">
        <v>93</v>
      </c>
      <c r="F167" t="s">
        <v>93</v>
      </c>
      <c r="G167" t="s">
        <v>108</v>
      </c>
      <c r="H167" t="s">
        <v>289</v>
      </c>
      <c r="I167" t="s">
        <v>133</v>
      </c>
      <c r="J167" t="s">
        <v>226</v>
      </c>
      <c r="K167" t="b">
        <v>0</v>
      </c>
      <c r="L167" t="s">
        <v>130</v>
      </c>
    </row>
    <row r="168" spans="1:12" hidden="1" x14ac:dyDescent="0.3">
      <c r="A168" t="s">
        <v>8</v>
      </c>
      <c r="B168" t="s">
        <v>223</v>
      </c>
      <c r="C168">
        <v>79</v>
      </c>
      <c r="D168" t="s">
        <v>311</v>
      </c>
      <c r="E168" t="s">
        <v>106</v>
      </c>
      <c r="F168" t="s">
        <v>106</v>
      </c>
      <c r="G168" t="s">
        <v>108</v>
      </c>
      <c r="H168" t="s">
        <v>289</v>
      </c>
      <c r="I168" t="s">
        <v>133</v>
      </c>
      <c r="J168" t="s">
        <v>226</v>
      </c>
      <c r="K168" t="b">
        <v>0</v>
      </c>
      <c r="L168" t="s">
        <v>130</v>
      </c>
    </row>
    <row r="169" spans="1:12" hidden="1" x14ac:dyDescent="0.3">
      <c r="A169" t="s">
        <v>8</v>
      </c>
      <c r="B169" t="s">
        <v>223</v>
      </c>
      <c r="C169">
        <v>80</v>
      </c>
      <c r="D169" t="s">
        <v>312</v>
      </c>
      <c r="E169" t="s">
        <v>107</v>
      </c>
      <c r="F169" t="s">
        <v>107</v>
      </c>
      <c r="G169" t="s">
        <v>108</v>
      </c>
      <c r="H169" t="s">
        <v>289</v>
      </c>
      <c r="I169" t="s">
        <v>133</v>
      </c>
      <c r="J169" t="s">
        <v>226</v>
      </c>
      <c r="K169" t="b">
        <v>0</v>
      </c>
      <c r="L169" t="s">
        <v>130</v>
      </c>
    </row>
    <row r="170" spans="1:12" hidden="1" x14ac:dyDescent="0.3">
      <c r="A170" t="s">
        <v>8</v>
      </c>
      <c r="B170" t="s">
        <v>223</v>
      </c>
      <c r="C170">
        <v>81</v>
      </c>
      <c r="D170" t="s">
        <v>313</v>
      </c>
      <c r="E170" t="s">
        <v>110</v>
      </c>
      <c r="F170" t="s">
        <v>110</v>
      </c>
      <c r="G170" t="s">
        <v>46</v>
      </c>
      <c r="H170" t="s">
        <v>163</v>
      </c>
      <c r="I170" t="s">
        <v>133</v>
      </c>
      <c r="J170" t="s">
        <v>226</v>
      </c>
      <c r="K170" t="b">
        <v>0</v>
      </c>
      <c r="L170" t="s">
        <v>130</v>
      </c>
    </row>
    <row r="171" spans="1:12" hidden="1" x14ac:dyDescent="0.3">
      <c r="A171" t="s">
        <v>8</v>
      </c>
      <c r="B171" t="s">
        <v>223</v>
      </c>
      <c r="C171">
        <v>82</v>
      </c>
      <c r="D171" t="s">
        <v>314</v>
      </c>
      <c r="E171" t="s">
        <v>111</v>
      </c>
      <c r="F171" t="s">
        <v>111</v>
      </c>
      <c r="G171" t="s">
        <v>46</v>
      </c>
      <c r="H171" t="s">
        <v>163</v>
      </c>
      <c r="I171" t="s">
        <v>133</v>
      </c>
      <c r="J171" t="s">
        <v>226</v>
      </c>
      <c r="K171" t="b">
        <v>0</v>
      </c>
      <c r="L171" t="s">
        <v>130</v>
      </c>
    </row>
    <row r="172" spans="1:12" hidden="1" x14ac:dyDescent="0.3">
      <c r="A172" t="s">
        <v>8</v>
      </c>
      <c r="B172" t="s">
        <v>223</v>
      </c>
      <c r="C172">
        <v>83</v>
      </c>
      <c r="D172" t="s">
        <v>315</v>
      </c>
      <c r="E172" t="s">
        <v>112</v>
      </c>
      <c r="F172" t="s">
        <v>112</v>
      </c>
      <c r="G172" t="s">
        <v>46</v>
      </c>
      <c r="H172" t="s">
        <v>163</v>
      </c>
      <c r="I172" t="s">
        <v>133</v>
      </c>
      <c r="J172" t="s">
        <v>226</v>
      </c>
      <c r="K172" t="b">
        <v>0</v>
      </c>
      <c r="L172" t="s">
        <v>130</v>
      </c>
    </row>
    <row r="173" spans="1:12" hidden="1" x14ac:dyDescent="0.3">
      <c r="A173" t="s">
        <v>8</v>
      </c>
      <c r="B173" t="s">
        <v>223</v>
      </c>
      <c r="C173">
        <v>84</v>
      </c>
      <c r="D173" t="s">
        <v>316</v>
      </c>
      <c r="E173" t="s">
        <v>109</v>
      </c>
      <c r="F173" t="s">
        <v>109</v>
      </c>
      <c r="G173" t="s">
        <v>46</v>
      </c>
      <c r="H173" t="s">
        <v>163</v>
      </c>
      <c r="I173" t="s">
        <v>133</v>
      </c>
      <c r="J173" t="s">
        <v>226</v>
      </c>
      <c r="K173" t="b">
        <v>0</v>
      </c>
      <c r="L173" t="s">
        <v>130</v>
      </c>
    </row>
    <row r="174" spans="1:12" hidden="1" x14ac:dyDescent="0.3">
      <c r="A174" t="s">
        <v>8</v>
      </c>
      <c r="B174" t="s">
        <v>223</v>
      </c>
      <c r="C174">
        <v>85</v>
      </c>
      <c r="D174" t="s">
        <v>317</v>
      </c>
      <c r="E174" t="s">
        <v>113</v>
      </c>
      <c r="F174" t="s">
        <v>113</v>
      </c>
      <c r="G174" t="s">
        <v>46</v>
      </c>
      <c r="H174" t="s">
        <v>163</v>
      </c>
      <c r="I174" t="s">
        <v>133</v>
      </c>
      <c r="J174" t="s">
        <v>226</v>
      </c>
      <c r="K174" t="b">
        <v>0</v>
      </c>
      <c r="L174" t="s">
        <v>130</v>
      </c>
    </row>
    <row r="175" spans="1:12" hidden="1" x14ac:dyDescent="0.3">
      <c r="A175" t="s">
        <v>8</v>
      </c>
      <c r="B175" t="s">
        <v>223</v>
      </c>
      <c r="C175">
        <v>86</v>
      </c>
      <c r="D175" t="s">
        <v>318</v>
      </c>
      <c r="E175" t="s">
        <v>114</v>
      </c>
      <c r="F175" t="s">
        <v>114</v>
      </c>
      <c r="G175" t="s">
        <v>46</v>
      </c>
      <c r="H175" t="s">
        <v>163</v>
      </c>
      <c r="I175" t="s">
        <v>133</v>
      </c>
      <c r="J175" t="s">
        <v>226</v>
      </c>
      <c r="K175" t="b">
        <v>0</v>
      </c>
      <c r="L175" t="s">
        <v>130</v>
      </c>
    </row>
    <row r="176" spans="1:12" hidden="1" x14ac:dyDescent="0.3">
      <c r="A176" t="s">
        <v>8</v>
      </c>
      <c r="B176" t="s">
        <v>223</v>
      </c>
      <c r="C176">
        <v>87</v>
      </c>
      <c r="D176" t="s">
        <v>319</v>
      </c>
      <c r="E176" t="s">
        <v>73</v>
      </c>
      <c r="F176" t="s">
        <v>73</v>
      </c>
      <c r="G176" t="s">
        <v>74</v>
      </c>
      <c r="H176" t="s">
        <v>320</v>
      </c>
      <c r="I176" t="s">
        <v>133</v>
      </c>
      <c r="J176" t="s">
        <v>226</v>
      </c>
      <c r="K176" t="b">
        <v>0</v>
      </c>
      <c r="L176" t="s">
        <v>130</v>
      </c>
    </row>
    <row r="177" spans="1:12" hidden="1" x14ac:dyDescent="0.3">
      <c r="A177" t="s">
        <v>8</v>
      </c>
      <c r="B177" t="s">
        <v>223</v>
      </c>
      <c r="C177">
        <v>88</v>
      </c>
      <c r="D177" t="s">
        <v>321</v>
      </c>
      <c r="E177" t="s">
        <v>75</v>
      </c>
      <c r="F177" t="s">
        <v>75</v>
      </c>
      <c r="G177" t="s">
        <v>74</v>
      </c>
      <c r="H177" t="s">
        <v>320</v>
      </c>
      <c r="I177" t="s">
        <v>133</v>
      </c>
      <c r="J177" t="s">
        <v>226</v>
      </c>
      <c r="K177" t="b">
        <v>0</v>
      </c>
      <c r="L177" t="s">
        <v>130</v>
      </c>
    </row>
    <row r="178" spans="1:12" hidden="1" x14ac:dyDescent="0.3">
      <c r="A178" t="s">
        <v>8</v>
      </c>
      <c r="B178" t="s">
        <v>223</v>
      </c>
      <c r="C178">
        <v>89</v>
      </c>
      <c r="D178" t="s">
        <v>322</v>
      </c>
      <c r="E178" t="s">
        <v>76</v>
      </c>
      <c r="F178" t="s">
        <v>76</v>
      </c>
      <c r="G178" t="s">
        <v>74</v>
      </c>
      <c r="H178" t="s">
        <v>320</v>
      </c>
      <c r="I178" t="s">
        <v>133</v>
      </c>
      <c r="J178" t="s">
        <v>226</v>
      </c>
      <c r="K178" t="b">
        <v>0</v>
      </c>
      <c r="L178" t="s">
        <v>130</v>
      </c>
    </row>
    <row r="179" spans="1:12" hidden="1" x14ac:dyDescent="0.3">
      <c r="A179" t="s">
        <v>8</v>
      </c>
      <c r="B179" t="s">
        <v>223</v>
      </c>
      <c r="C179">
        <v>90</v>
      </c>
      <c r="D179" t="s">
        <v>323</v>
      </c>
      <c r="E179" t="s">
        <v>78</v>
      </c>
      <c r="F179" t="s">
        <v>78</v>
      </c>
      <c r="G179" t="s">
        <v>80</v>
      </c>
      <c r="H179" t="s">
        <v>324</v>
      </c>
      <c r="I179" t="s">
        <v>133</v>
      </c>
      <c r="J179" t="s">
        <v>226</v>
      </c>
      <c r="K179" t="b">
        <v>0</v>
      </c>
      <c r="L179" t="s">
        <v>130</v>
      </c>
    </row>
    <row r="180" spans="1:12" hidden="1" x14ac:dyDescent="0.3">
      <c r="A180" t="s">
        <v>8</v>
      </c>
      <c r="B180" t="s">
        <v>223</v>
      </c>
      <c r="C180">
        <v>91</v>
      </c>
      <c r="D180" t="s">
        <v>325</v>
      </c>
      <c r="E180" t="s">
        <v>79</v>
      </c>
      <c r="F180" t="s">
        <v>79</v>
      </c>
      <c r="G180" t="s">
        <v>80</v>
      </c>
      <c r="H180" t="s">
        <v>324</v>
      </c>
      <c r="I180" t="s">
        <v>133</v>
      </c>
      <c r="J180" t="s">
        <v>226</v>
      </c>
      <c r="K180" t="b">
        <v>0</v>
      </c>
      <c r="L180" t="s">
        <v>130</v>
      </c>
    </row>
    <row r="181" spans="1:12" hidden="1" x14ac:dyDescent="0.3">
      <c r="A181" t="s">
        <v>8</v>
      </c>
      <c r="B181" t="s">
        <v>223</v>
      </c>
      <c r="C181">
        <v>92</v>
      </c>
      <c r="D181" t="s">
        <v>326</v>
      </c>
      <c r="E181" t="s">
        <v>11</v>
      </c>
      <c r="F181" t="s">
        <v>11</v>
      </c>
      <c r="G181" t="s">
        <v>80</v>
      </c>
      <c r="H181" t="s">
        <v>324</v>
      </c>
      <c r="I181" t="s">
        <v>133</v>
      </c>
      <c r="J181" t="s">
        <v>226</v>
      </c>
      <c r="K181" t="b">
        <v>0</v>
      </c>
      <c r="L181" t="s">
        <v>130</v>
      </c>
    </row>
    <row r="182" spans="1:12" hidden="1" x14ac:dyDescent="0.3">
      <c r="A182" t="s">
        <v>8</v>
      </c>
      <c r="B182" t="s">
        <v>223</v>
      </c>
      <c r="C182">
        <v>93</v>
      </c>
      <c r="D182" t="s">
        <v>327</v>
      </c>
      <c r="E182" t="s">
        <v>25</v>
      </c>
      <c r="F182" t="s">
        <v>25</v>
      </c>
      <c r="G182" t="s">
        <v>80</v>
      </c>
      <c r="H182" t="s">
        <v>324</v>
      </c>
      <c r="I182" t="s">
        <v>133</v>
      </c>
      <c r="J182" t="s">
        <v>226</v>
      </c>
      <c r="K182" t="b">
        <v>0</v>
      </c>
      <c r="L182" t="s">
        <v>130</v>
      </c>
    </row>
    <row r="183" spans="1:12" hidden="1" x14ac:dyDescent="0.3">
      <c r="A183" t="s">
        <v>8</v>
      </c>
      <c r="B183" t="s">
        <v>223</v>
      </c>
      <c r="C183">
        <v>94</v>
      </c>
      <c r="D183" t="s">
        <v>328</v>
      </c>
      <c r="E183" t="s">
        <v>27</v>
      </c>
      <c r="F183" t="s">
        <v>27</v>
      </c>
      <c r="G183" t="s">
        <v>80</v>
      </c>
      <c r="H183" t="s">
        <v>324</v>
      </c>
      <c r="I183" t="s">
        <v>133</v>
      </c>
      <c r="J183" t="s">
        <v>226</v>
      </c>
      <c r="K183" t="b">
        <v>0</v>
      </c>
      <c r="L183" t="s">
        <v>130</v>
      </c>
    </row>
    <row r="184" spans="1:12" hidden="1" x14ac:dyDescent="0.3">
      <c r="A184" t="s">
        <v>8</v>
      </c>
      <c r="B184" t="s">
        <v>223</v>
      </c>
      <c r="C184">
        <v>95</v>
      </c>
      <c r="D184" t="s">
        <v>329</v>
      </c>
      <c r="E184" t="s">
        <v>47</v>
      </c>
      <c r="F184" t="s">
        <v>47</v>
      </c>
      <c r="G184" t="s">
        <v>80</v>
      </c>
      <c r="H184" t="s">
        <v>324</v>
      </c>
      <c r="I184" t="s">
        <v>133</v>
      </c>
      <c r="J184" t="s">
        <v>226</v>
      </c>
      <c r="K184" t="b">
        <v>0</v>
      </c>
      <c r="L184" t="s">
        <v>130</v>
      </c>
    </row>
    <row r="185" spans="1:12" hidden="1" x14ac:dyDescent="0.3">
      <c r="A185" t="s">
        <v>8</v>
      </c>
      <c r="B185" t="s">
        <v>223</v>
      </c>
      <c r="C185">
        <v>96</v>
      </c>
      <c r="D185" t="s">
        <v>330</v>
      </c>
      <c r="E185" t="s">
        <v>122</v>
      </c>
      <c r="F185" t="s">
        <v>122</v>
      </c>
      <c r="G185" t="s">
        <v>80</v>
      </c>
      <c r="H185" t="s">
        <v>324</v>
      </c>
      <c r="I185" t="s">
        <v>133</v>
      </c>
      <c r="J185" t="s">
        <v>226</v>
      </c>
      <c r="K185" t="b">
        <v>0</v>
      </c>
      <c r="L185" t="s">
        <v>130</v>
      </c>
    </row>
    <row r="186" spans="1:12" hidden="1" x14ac:dyDescent="0.3">
      <c r="A186" t="s">
        <v>8</v>
      </c>
      <c r="B186" t="s">
        <v>223</v>
      </c>
      <c r="C186">
        <v>97</v>
      </c>
      <c r="D186" t="s">
        <v>331</v>
      </c>
      <c r="E186" t="s">
        <v>24</v>
      </c>
      <c r="F186" t="s">
        <v>24</v>
      </c>
      <c r="G186" t="s">
        <v>80</v>
      </c>
      <c r="H186" t="s">
        <v>324</v>
      </c>
      <c r="I186" t="s">
        <v>133</v>
      </c>
      <c r="J186" t="s">
        <v>226</v>
      </c>
      <c r="K186" t="b">
        <v>0</v>
      </c>
      <c r="L186" t="s">
        <v>130</v>
      </c>
    </row>
    <row r="187" spans="1:12" x14ac:dyDescent="0.3">
      <c r="A187" t="s">
        <v>8</v>
      </c>
      <c r="B187" t="s">
        <v>332</v>
      </c>
      <c r="C187">
        <v>1</v>
      </c>
      <c r="D187" t="s">
        <v>333</v>
      </c>
      <c r="E187" t="s">
        <v>56</v>
      </c>
      <c r="F187" t="s">
        <v>225</v>
      </c>
      <c r="G187" t="s">
        <v>36</v>
      </c>
      <c r="H187" t="s">
        <v>132</v>
      </c>
      <c r="I187" t="s">
        <v>133</v>
      </c>
      <c r="J187" t="s">
        <v>334</v>
      </c>
      <c r="K187" t="b">
        <v>1</v>
      </c>
      <c r="L187" t="s">
        <v>130</v>
      </c>
    </row>
    <row r="188" spans="1:12" x14ac:dyDescent="0.3">
      <c r="A188" t="s">
        <v>8</v>
      </c>
      <c r="B188" t="s">
        <v>332</v>
      </c>
      <c r="C188">
        <v>2</v>
      </c>
      <c r="D188" t="s">
        <v>335</v>
      </c>
      <c r="E188" t="s">
        <v>71</v>
      </c>
      <c r="F188" t="s">
        <v>228</v>
      </c>
      <c r="G188" t="s">
        <v>36</v>
      </c>
      <c r="H188" t="s">
        <v>132</v>
      </c>
      <c r="I188" t="s">
        <v>133</v>
      </c>
      <c r="J188" t="s">
        <v>334</v>
      </c>
      <c r="K188" t="b">
        <v>1</v>
      </c>
      <c r="L188" t="s">
        <v>130</v>
      </c>
    </row>
    <row r="189" spans="1:12" x14ac:dyDescent="0.3">
      <c r="A189" t="s">
        <v>8</v>
      </c>
      <c r="B189" t="s">
        <v>332</v>
      </c>
      <c r="C189">
        <v>3</v>
      </c>
      <c r="D189" t="s">
        <v>336</v>
      </c>
      <c r="E189" t="s">
        <v>28</v>
      </c>
      <c r="F189" t="s">
        <v>28</v>
      </c>
      <c r="G189" t="s">
        <v>36</v>
      </c>
      <c r="H189" t="s">
        <v>132</v>
      </c>
      <c r="I189" t="s">
        <v>133</v>
      </c>
      <c r="J189" t="s">
        <v>334</v>
      </c>
      <c r="K189" t="b">
        <v>0</v>
      </c>
      <c r="L189" t="s">
        <v>130</v>
      </c>
    </row>
    <row r="190" spans="1:12" x14ac:dyDescent="0.3">
      <c r="A190" t="s">
        <v>8</v>
      </c>
      <c r="B190" t="s">
        <v>332</v>
      </c>
      <c r="C190">
        <v>4</v>
      </c>
      <c r="D190" t="s">
        <v>337</v>
      </c>
      <c r="E190" t="s">
        <v>30</v>
      </c>
      <c r="F190" t="s">
        <v>30</v>
      </c>
      <c r="G190" t="s">
        <v>36</v>
      </c>
      <c r="H190" t="s">
        <v>132</v>
      </c>
      <c r="I190" t="s">
        <v>133</v>
      </c>
      <c r="J190" t="s">
        <v>334</v>
      </c>
      <c r="K190" t="b">
        <v>0</v>
      </c>
      <c r="L190" t="s">
        <v>130</v>
      </c>
    </row>
    <row r="191" spans="1:12" x14ac:dyDescent="0.3">
      <c r="A191" t="s">
        <v>8</v>
      </c>
      <c r="B191" t="s">
        <v>332</v>
      </c>
      <c r="C191">
        <v>5</v>
      </c>
      <c r="D191" t="s">
        <v>338</v>
      </c>
      <c r="E191" t="s">
        <v>51</v>
      </c>
      <c r="F191" t="s">
        <v>51</v>
      </c>
      <c r="G191" t="s">
        <v>36</v>
      </c>
      <c r="H191" t="s">
        <v>132</v>
      </c>
      <c r="I191" t="s">
        <v>133</v>
      </c>
      <c r="J191" t="s">
        <v>334</v>
      </c>
      <c r="K191" t="b">
        <v>0</v>
      </c>
      <c r="L191" t="s">
        <v>130</v>
      </c>
    </row>
    <row r="192" spans="1:12" x14ac:dyDescent="0.3">
      <c r="A192" t="s">
        <v>8</v>
      </c>
      <c r="B192" t="s">
        <v>332</v>
      </c>
      <c r="C192">
        <v>6</v>
      </c>
      <c r="D192" t="s">
        <v>339</v>
      </c>
      <c r="E192" t="s">
        <v>70</v>
      </c>
      <c r="F192" t="s">
        <v>70</v>
      </c>
      <c r="G192" t="s">
        <v>36</v>
      </c>
      <c r="H192" t="s">
        <v>132</v>
      </c>
      <c r="I192" t="s">
        <v>133</v>
      </c>
      <c r="J192" t="s">
        <v>334</v>
      </c>
      <c r="K192" t="b">
        <v>0</v>
      </c>
      <c r="L192" t="s">
        <v>130</v>
      </c>
    </row>
    <row r="193" spans="1:12" x14ac:dyDescent="0.3">
      <c r="A193" t="s">
        <v>8</v>
      </c>
      <c r="B193" t="s">
        <v>332</v>
      </c>
      <c r="C193">
        <v>7</v>
      </c>
      <c r="D193" t="s">
        <v>340</v>
      </c>
      <c r="E193" t="s">
        <v>48</v>
      </c>
      <c r="F193" t="s">
        <v>48</v>
      </c>
      <c r="G193" t="s">
        <v>36</v>
      </c>
      <c r="H193" t="s">
        <v>132</v>
      </c>
      <c r="I193" t="s">
        <v>133</v>
      </c>
      <c r="J193" t="s">
        <v>334</v>
      </c>
      <c r="K193" t="b">
        <v>0</v>
      </c>
      <c r="L193" t="s">
        <v>130</v>
      </c>
    </row>
    <row r="194" spans="1:12" x14ac:dyDescent="0.3">
      <c r="A194" t="s">
        <v>8</v>
      </c>
      <c r="B194" t="s">
        <v>332</v>
      </c>
      <c r="C194">
        <v>8</v>
      </c>
      <c r="D194" t="s">
        <v>341</v>
      </c>
      <c r="E194" t="s">
        <v>7</v>
      </c>
      <c r="F194" t="s">
        <v>7</v>
      </c>
      <c r="G194" t="s">
        <v>36</v>
      </c>
      <c r="H194" t="s">
        <v>132</v>
      </c>
      <c r="I194" t="s">
        <v>133</v>
      </c>
      <c r="J194" t="s">
        <v>334</v>
      </c>
      <c r="K194" t="b">
        <v>0</v>
      </c>
      <c r="L194" t="s">
        <v>130</v>
      </c>
    </row>
    <row r="195" spans="1:12" x14ac:dyDescent="0.3">
      <c r="A195" t="s">
        <v>8</v>
      </c>
      <c r="B195" t="s">
        <v>332</v>
      </c>
      <c r="C195">
        <v>9</v>
      </c>
      <c r="D195" t="s">
        <v>342</v>
      </c>
      <c r="E195" t="s">
        <v>31</v>
      </c>
      <c r="F195" t="s">
        <v>31</v>
      </c>
      <c r="G195" t="s">
        <v>36</v>
      </c>
      <c r="H195" t="s">
        <v>132</v>
      </c>
      <c r="I195" t="s">
        <v>133</v>
      </c>
      <c r="J195" t="s">
        <v>334</v>
      </c>
      <c r="K195" t="b">
        <v>0</v>
      </c>
      <c r="L195" t="s">
        <v>130</v>
      </c>
    </row>
    <row r="196" spans="1:12" x14ac:dyDescent="0.3">
      <c r="A196" t="s">
        <v>8</v>
      </c>
      <c r="B196" t="s">
        <v>332</v>
      </c>
      <c r="C196">
        <v>10</v>
      </c>
      <c r="D196" t="s">
        <v>343</v>
      </c>
      <c r="E196" t="s">
        <v>33</v>
      </c>
      <c r="F196" t="s">
        <v>33</v>
      </c>
      <c r="G196" t="s">
        <v>36</v>
      </c>
      <c r="H196" t="s">
        <v>132</v>
      </c>
      <c r="I196" t="s">
        <v>133</v>
      </c>
      <c r="J196" t="s">
        <v>334</v>
      </c>
      <c r="K196" t="b">
        <v>0</v>
      </c>
      <c r="L196" t="s">
        <v>130</v>
      </c>
    </row>
    <row r="197" spans="1:12" x14ac:dyDescent="0.3">
      <c r="A197" t="s">
        <v>8</v>
      </c>
      <c r="B197" t="s">
        <v>332</v>
      </c>
      <c r="C197">
        <v>11</v>
      </c>
      <c r="D197" t="s">
        <v>344</v>
      </c>
      <c r="E197" t="s">
        <v>58</v>
      </c>
      <c r="F197" t="s">
        <v>58</v>
      </c>
      <c r="G197" t="s">
        <v>36</v>
      </c>
      <c r="H197" t="s">
        <v>132</v>
      </c>
      <c r="I197" t="s">
        <v>133</v>
      </c>
      <c r="J197" t="s">
        <v>334</v>
      </c>
      <c r="K197" t="b">
        <v>0</v>
      </c>
      <c r="L197" t="s">
        <v>130</v>
      </c>
    </row>
    <row r="198" spans="1:12" x14ac:dyDescent="0.3">
      <c r="A198" t="s">
        <v>8</v>
      </c>
      <c r="B198" t="s">
        <v>332</v>
      </c>
      <c r="C198">
        <v>12</v>
      </c>
      <c r="D198" t="s">
        <v>345</v>
      </c>
      <c r="E198" t="s">
        <v>59</v>
      </c>
      <c r="F198" t="s">
        <v>239</v>
      </c>
      <c r="G198" t="s">
        <v>36</v>
      </c>
      <c r="H198" t="s">
        <v>132</v>
      </c>
      <c r="I198" t="s">
        <v>133</v>
      </c>
      <c r="J198" t="s">
        <v>334</v>
      </c>
      <c r="K198" t="b">
        <v>1</v>
      </c>
      <c r="L198" t="s">
        <v>130</v>
      </c>
    </row>
    <row r="199" spans="1:12" x14ac:dyDescent="0.3">
      <c r="A199" t="s">
        <v>8</v>
      </c>
      <c r="B199" t="s">
        <v>332</v>
      </c>
      <c r="C199">
        <v>13</v>
      </c>
      <c r="D199" t="s">
        <v>346</v>
      </c>
      <c r="E199" t="s">
        <v>61</v>
      </c>
      <c r="F199" t="s">
        <v>241</v>
      </c>
      <c r="G199" t="s">
        <v>36</v>
      </c>
      <c r="H199" t="s">
        <v>132</v>
      </c>
      <c r="I199" t="s">
        <v>133</v>
      </c>
      <c r="J199" t="s">
        <v>334</v>
      </c>
      <c r="K199" t="b">
        <v>1</v>
      </c>
      <c r="L199" t="s">
        <v>130</v>
      </c>
    </row>
    <row r="200" spans="1:12" x14ac:dyDescent="0.3">
      <c r="A200" t="s">
        <v>8</v>
      </c>
      <c r="B200" t="s">
        <v>332</v>
      </c>
      <c r="C200">
        <v>14</v>
      </c>
      <c r="D200" t="s">
        <v>347</v>
      </c>
      <c r="E200" t="s">
        <v>121</v>
      </c>
      <c r="F200" t="s">
        <v>121</v>
      </c>
      <c r="G200" t="s">
        <v>36</v>
      </c>
      <c r="H200" t="s">
        <v>132</v>
      </c>
      <c r="I200" t="s">
        <v>133</v>
      </c>
      <c r="J200" t="s">
        <v>334</v>
      </c>
      <c r="K200" t="b">
        <v>0</v>
      </c>
      <c r="L200" t="s">
        <v>130</v>
      </c>
    </row>
    <row r="201" spans="1:12" x14ac:dyDescent="0.3">
      <c r="A201" t="s">
        <v>8</v>
      </c>
      <c r="B201" t="s">
        <v>332</v>
      </c>
      <c r="C201">
        <v>15</v>
      </c>
      <c r="D201" t="s">
        <v>348</v>
      </c>
      <c r="E201" t="s">
        <v>62</v>
      </c>
      <c r="F201" t="s">
        <v>62</v>
      </c>
      <c r="G201" t="s">
        <v>36</v>
      </c>
      <c r="H201" t="s">
        <v>132</v>
      </c>
      <c r="I201" t="s">
        <v>133</v>
      </c>
      <c r="J201" t="s">
        <v>334</v>
      </c>
      <c r="K201" t="b">
        <v>0</v>
      </c>
      <c r="L201" t="s">
        <v>130</v>
      </c>
    </row>
    <row r="202" spans="1:12" x14ac:dyDescent="0.3">
      <c r="A202" t="s">
        <v>8</v>
      </c>
      <c r="B202" t="s">
        <v>332</v>
      </c>
      <c r="C202">
        <v>16</v>
      </c>
      <c r="D202" t="s">
        <v>349</v>
      </c>
      <c r="E202" t="s">
        <v>17</v>
      </c>
      <c r="F202" t="s">
        <v>17</v>
      </c>
      <c r="G202" t="s">
        <v>36</v>
      </c>
      <c r="H202" t="s">
        <v>132</v>
      </c>
      <c r="I202" t="s">
        <v>133</v>
      </c>
      <c r="J202" t="s">
        <v>334</v>
      </c>
      <c r="K202" t="b">
        <v>0</v>
      </c>
      <c r="L202" t="s">
        <v>130</v>
      </c>
    </row>
    <row r="203" spans="1:12" x14ac:dyDescent="0.3">
      <c r="A203" t="s">
        <v>8</v>
      </c>
      <c r="B203" t="s">
        <v>332</v>
      </c>
      <c r="C203">
        <v>17</v>
      </c>
      <c r="D203" t="s">
        <v>350</v>
      </c>
      <c r="E203" t="s">
        <v>60</v>
      </c>
      <c r="F203" t="s">
        <v>60</v>
      </c>
      <c r="G203" t="s">
        <v>36</v>
      </c>
      <c r="H203" t="s">
        <v>132</v>
      </c>
      <c r="I203" t="s">
        <v>133</v>
      </c>
      <c r="J203" t="s">
        <v>334</v>
      </c>
      <c r="K203" t="b">
        <v>0</v>
      </c>
      <c r="L203" t="s">
        <v>130</v>
      </c>
    </row>
    <row r="204" spans="1:12" x14ac:dyDescent="0.3">
      <c r="A204" t="s">
        <v>8</v>
      </c>
      <c r="B204" t="s">
        <v>332</v>
      </c>
      <c r="C204">
        <v>18</v>
      </c>
      <c r="D204" t="s">
        <v>351</v>
      </c>
      <c r="E204" t="s">
        <v>11</v>
      </c>
      <c r="F204" t="s">
        <v>11</v>
      </c>
      <c r="G204" t="s">
        <v>36</v>
      </c>
      <c r="H204" t="s">
        <v>132</v>
      </c>
      <c r="I204" t="s">
        <v>133</v>
      </c>
      <c r="J204" t="s">
        <v>334</v>
      </c>
      <c r="K204" t="b">
        <v>0</v>
      </c>
      <c r="L204" t="s">
        <v>130</v>
      </c>
    </row>
    <row r="205" spans="1:12" x14ac:dyDescent="0.3">
      <c r="A205" t="s">
        <v>8</v>
      </c>
      <c r="B205" t="s">
        <v>332</v>
      </c>
      <c r="C205">
        <v>19</v>
      </c>
      <c r="D205" t="s">
        <v>352</v>
      </c>
      <c r="E205" t="s">
        <v>55</v>
      </c>
      <c r="F205" t="s">
        <v>55</v>
      </c>
      <c r="G205" t="s">
        <v>36</v>
      </c>
      <c r="H205" t="s">
        <v>132</v>
      </c>
      <c r="I205" t="s">
        <v>133</v>
      </c>
      <c r="J205" t="s">
        <v>334</v>
      </c>
      <c r="K205" t="b">
        <v>0</v>
      </c>
      <c r="L205" t="s">
        <v>130</v>
      </c>
    </row>
    <row r="206" spans="1:12" x14ac:dyDescent="0.3">
      <c r="A206" t="s">
        <v>8</v>
      </c>
      <c r="B206" t="s">
        <v>332</v>
      </c>
      <c r="C206">
        <v>20</v>
      </c>
      <c r="D206" t="s">
        <v>353</v>
      </c>
      <c r="E206" t="s">
        <v>14</v>
      </c>
      <c r="F206" t="s">
        <v>146</v>
      </c>
      <c r="G206" t="s">
        <v>36</v>
      </c>
      <c r="H206" t="s">
        <v>132</v>
      </c>
      <c r="I206" t="s">
        <v>133</v>
      </c>
      <c r="J206" t="s">
        <v>334</v>
      </c>
      <c r="K206" t="b">
        <v>1</v>
      </c>
      <c r="L206" t="s">
        <v>130</v>
      </c>
    </row>
    <row r="207" spans="1:12" x14ac:dyDescent="0.3">
      <c r="A207" t="s">
        <v>8</v>
      </c>
      <c r="B207" t="s">
        <v>332</v>
      </c>
      <c r="C207">
        <v>21</v>
      </c>
      <c r="D207" t="s">
        <v>354</v>
      </c>
      <c r="E207" t="s">
        <v>66</v>
      </c>
      <c r="F207" t="s">
        <v>66</v>
      </c>
      <c r="G207" t="s">
        <v>36</v>
      </c>
      <c r="H207" t="s">
        <v>132</v>
      </c>
      <c r="I207" t="s">
        <v>133</v>
      </c>
      <c r="J207" t="s">
        <v>334</v>
      </c>
      <c r="K207" t="b">
        <v>0</v>
      </c>
      <c r="L207" t="s">
        <v>130</v>
      </c>
    </row>
    <row r="208" spans="1:12" x14ac:dyDescent="0.3">
      <c r="A208" t="s">
        <v>8</v>
      </c>
      <c r="B208" t="s">
        <v>332</v>
      </c>
      <c r="C208">
        <v>22</v>
      </c>
      <c r="D208" t="s">
        <v>355</v>
      </c>
      <c r="E208" t="s">
        <v>25</v>
      </c>
      <c r="F208" t="s">
        <v>25</v>
      </c>
      <c r="G208" t="s">
        <v>36</v>
      </c>
      <c r="H208" t="s">
        <v>132</v>
      </c>
      <c r="I208" t="s">
        <v>133</v>
      </c>
      <c r="J208" t="s">
        <v>334</v>
      </c>
      <c r="K208" t="b">
        <v>0</v>
      </c>
      <c r="L208" t="s">
        <v>130</v>
      </c>
    </row>
    <row r="209" spans="1:12" x14ac:dyDescent="0.3">
      <c r="A209" t="s">
        <v>8</v>
      </c>
      <c r="B209" t="s">
        <v>332</v>
      </c>
      <c r="C209">
        <v>23</v>
      </c>
      <c r="D209" t="s">
        <v>356</v>
      </c>
      <c r="E209" t="s">
        <v>26</v>
      </c>
      <c r="F209" t="s">
        <v>26</v>
      </c>
      <c r="G209" t="s">
        <v>36</v>
      </c>
      <c r="H209" t="s">
        <v>132</v>
      </c>
      <c r="I209" t="s">
        <v>133</v>
      </c>
      <c r="J209" t="s">
        <v>334</v>
      </c>
      <c r="K209" t="b">
        <v>0</v>
      </c>
      <c r="L209" t="s">
        <v>130</v>
      </c>
    </row>
    <row r="210" spans="1:12" x14ac:dyDescent="0.3">
      <c r="A210" t="s">
        <v>8</v>
      </c>
      <c r="B210" t="s">
        <v>332</v>
      </c>
      <c r="C210">
        <v>24</v>
      </c>
      <c r="D210" t="s">
        <v>357</v>
      </c>
      <c r="E210" t="s">
        <v>27</v>
      </c>
      <c r="F210" t="s">
        <v>27</v>
      </c>
      <c r="G210" t="s">
        <v>36</v>
      </c>
      <c r="H210" t="s">
        <v>132</v>
      </c>
      <c r="I210" t="s">
        <v>133</v>
      </c>
      <c r="J210" t="s">
        <v>334</v>
      </c>
      <c r="K210" t="b">
        <v>0</v>
      </c>
      <c r="L210" t="s">
        <v>130</v>
      </c>
    </row>
    <row r="211" spans="1:12" x14ac:dyDescent="0.3">
      <c r="A211" t="s">
        <v>8</v>
      </c>
      <c r="B211" t="s">
        <v>332</v>
      </c>
      <c r="C211">
        <v>25</v>
      </c>
      <c r="D211" t="s">
        <v>358</v>
      </c>
      <c r="E211" t="s">
        <v>47</v>
      </c>
      <c r="F211" t="s">
        <v>47</v>
      </c>
      <c r="G211" t="s">
        <v>36</v>
      </c>
      <c r="H211" t="s">
        <v>132</v>
      </c>
      <c r="I211" t="s">
        <v>133</v>
      </c>
      <c r="J211" t="s">
        <v>334</v>
      </c>
      <c r="K211" t="b">
        <v>0</v>
      </c>
      <c r="L211" t="s">
        <v>130</v>
      </c>
    </row>
    <row r="212" spans="1:12" x14ac:dyDescent="0.3">
      <c r="A212" t="s">
        <v>8</v>
      </c>
      <c r="B212" t="s">
        <v>332</v>
      </c>
      <c r="C212">
        <v>26</v>
      </c>
      <c r="D212" t="s">
        <v>359</v>
      </c>
      <c r="E212" t="s">
        <v>24</v>
      </c>
      <c r="F212" t="s">
        <v>24</v>
      </c>
      <c r="G212" t="s">
        <v>36</v>
      </c>
      <c r="H212" t="s">
        <v>132</v>
      </c>
      <c r="I212" t="s">
        <v>133</v>
      </c>
      <c r="J212" t="s">
        <v>334</v>
      </c>
      <c r="K212" t="b">
        <v>0</v>
      </c>
      <c r="L212" t="s">
        <v>130</v>
      </c>
    </row>
    <row r="213" spans="1:12" x14ac:dyDescent="0.3">
      <c r="A213" t="s">
        <v>8</v>
      </c>
      <c r="B213" t="s">
        <v>332</v>
      </c>
      <c r="C213">
        <v>27</v>
      </c>
      <c r="D213" t="s">
        <v>360</v>
      </c>
      <c r="E213" t="s">
        <v>65</v>
      </c>
      <c r="F213" t="s">
        <v>65</v>
      </c>
      <c r="G213" t="s">
        <v>36</v>
      </c>
      <c r="H213" t="s">
        <v>132</v>
      </c>
      <c r="I213" t="s">
        <v>133</v>
      </c>
      <c r="J213" t="s">
        <v>334</v>
      </c>
      <c r="K213" t="b">
        <v>0</v>
      </c>
      <c r="L213" t="s">
        <v>130</v>
      </c>
    </row>
    <row r="214" spans="1:12" x14ac:dyDescent="0.3">
      <c r="A214" t="s">
        <v>8</v>
      </c>
      <c r="B214" t="s">
        <v>332</v>
      </c>
      <c r="C214">
        <v>28</v>
      </c>
      <c r="D214" t="s">
        <v>361</v>
      </c>
      <c r="E214" t="s">
        <v>63</v>
      </c>
      <c r="F214" t="s">
        <v>257</v>
      </c>
      <c r="G214" t="s">
        <v>36</v>
      </c>
      <c r="H214" t="s">
        <v>132</v>
      </c>
      <c r="I214" t="s">
        <v>133</v>
      </c>
      <c r="J214" t="s">
        <v>334</v>
      </c>
      <c r="K214" t="b">
        <v>1</v>
      </c>
      <c r="L214" t="s">
        <v>130</v>
      </c>
    </row>
    <row r="215" spans="1:12" x14ac:dyDescent="0.3">
      <c r="A215" t="s">
        <v>8</v>
      </c>
      <c r="B215" t="s">
        <v>332</v>
      </c>
      <c r="C215">
        <v>29</v>
      </c>
      <c r="D215" t="s">
        <v>362</v>
      </c>
      <c r="E215" t="s">
        <v>13</v>
      </c>
      <c r="F215" t="s">
        <v>13</v>
      </c>
      <c r="G215" t="s">
        <v>36</v>
      </c>
      <c r="H215" t="s">
        <v>132</v>
      </c>
      <c r="I215" t="s">
        <v>133</v>
      </c>
      <c r="J215" t="s">
        <v>334</v>
      </c>
      <c r="K215" t="b">
        <v>0</v>
      </c>
      <c r="L215" t="s">
        <v>130</v>
      </c>
    </row>
    <row r="216" spans="1:12" x14ac:dyDescent="0.3">
      <c r="A216" t="s">
        <v>8</v>
      </c>
      <c r="B216" t="s">
        <v>332</v>
      </c>
      <c r="C216">
        <v>30</v>
      </c>
      <c r="D216" t="s">
        <v>363</v>
      </c>
      <c r="E216" t="s">
        <v>72</v>
      </c>
      <c r="F216" t="s">
        <v>72</v>
      </c>
      <c r="G216" t="s">
        <v>36</v>
      </c>
      <c r="H216" t="s">
        <v>132</v>
      </c>
      <c r="I216" t="s">
        <v>133</v>
      </c>
      <c r="J216" t="s">
        <v>334</v>
      </c>
      <c r="K216" t="b">
        <v>0</v>
      </c>
      <c r="L216" t="s">
        <v>130</v>
      </c>
    </row>
    <row r="217" spans="1:12" x14ac:dyDescent="0.3">
      <c r="A217" t="s">
        <v>8</v>
      </c>
      <c r="B217" t="s">
        <v>332</v>
      </c>
      <c r="C217">
        <v>31</v>
      </c>
      <c r="D217" t="s">
        <v>364</v>
      </c>
      <c r="E217" t="s">
        <v>16</v>
      </c>
      <c r="F217" t="s">
        <v>155</v>
      </c>
      <c r="G217" t="s">
        <v>36</v>
      </c>
      <c r="H217" t="s">
        <v>132</v>
      </c>
      <c r="I217" t="s">
        <v>133</v>
      </c>
      <c r="J217" t="s">
        <v>334</v>
      </c>
      <c r="K217" t="b">
        <v>1</v>
      </c>
      <c r="L217" t="s">
        <v>130</v>
      </c>
    </row>
    <row r="218" spans="1:12" x14ac:dyDescent="0.3">
      <c r="A218" t="s">
        <v>8</v>
      </c>
      <c r="B218" t="s">
        <v>332</v>
      </c>
      <c r="C218">
        <v>32</v>
      </c>
      <c r="D218" t="s">
        <v>365</v>
      </c>
      <c r="E218" t="s">
        <v>18</v>
      </c>
      <c r="F218" t="s">
        <v>18</v>
      </c>
      <c r="G218" t="s">
        <v>36</v>
      </c>
      <c r="H218" t="s">
        <v>132</v>
      </c>
      <c r="I218" t="s">
        <v>133</v>
      </c>
      <c r="J218" t="s">
        <v>334</v>
      </c>
      <c r="K218" t="b">
        <v>0</v>
      </c>
      <c r="L218" t="s">
        <v>130</v>
      </c>
    </row>
    <row r="219" spans="1:12" x14ac:dyDescent="0.3">
      <c r="A219" t="s">
        <v>8</v>
      </c>
      <c r="B219" t="s">
        <v>332</v>
      </c>
      <c r="C219">
        <v>33</v>
      </c>
      <c r="D219" t="s">
        <v>366</v>
      </c>
      <c r="E219" t="s">
        <v>77</v>
      </c>
      <c r="F219" t="s">
        <v>77</v>
      </c>
      <c r="G219" t="s">
        <v>36</v>
      </c>
      <c r="H219" t="s">
        <v>132</v>
      </c>
      <c r="I219" t="s">
        <v>133</v>
      </c>
      <c r="J219" t="s">
        <v>334</v>
      </c>
      <c r="K219" t="b">
        <v>0</v>
      </c>
      <c r="L219" t="s">
        <v>130</v>
      </c>
    </row>
    <row r="220" spans="1:12" x14ac:dyDescent="0.3">
      <c r="A220" t="s">
        <v>8</v>
      </c>
      <c r="B220" t="s">
        <v>332</v>
      </c>
      <c r="C220">
        <v>34</v>
      </c>
      <c r="D220" t="s">
        <v>368</v>
      </c>
      <c r="E220" t="s">
        <v>81</v>
      </c>
      <c r="F220" t="s">
        <v>81</v>
      </c>
      <c r="G220" t="s">
        <v>124</v>
      </c>
      <c r="H220" t="s">
        <v>367</v>
      </c>
      <c r="I220" t="s">
        <v>133</v>
      </c>
      <c r="J220" t="s">
        <v>334</v>
      </c>
      <c r="K220" t="b">
        <v>0</v>
      </c>
      <c r="L220" t="s">
        <v>130</v>
      </c>
    </row>
    <row r="221" spans="1:12" x14ac:dyDescent="0.3">
      <c r="A221" t="s">
        <v>8</v>
      </c>
      <c r="B221" t="s">
        <v>332</v>
      </c>
      <c r="C221">
        <v>35</v>
      </c>
      <c r="D221" t="s">
        <v>369</v>
      </c>
      <c r="E221" t="s">
        <v>68</v>
      </c>
      <c r="F221" t="s">
        <v>68</v>
      </c>
      <c r="G221" t="s">
        <v>124</v>
      </c>
      <c r="H221" t="s">
        <v>367</v>
      </c>
      <c r="I221" t="s">
        <v>133</v>
      </c>
      <c r="J221" t="s">
        <v>334</v>
      </c>
      <c r="K221" t="b">
        <v>0</v>
      </c>
      <c r="L221" t="s">
        <v>130</v>
      </c>
    </row>
    <row r="222" spans="1:12" x14ac:dyDescent="0.3">
      <c r="A222" t="s">
        <v>8</v>
      </c>
      <c r="B222" t="s">
        <v>332</v>
      </c>
      <c r="C222">
        <v>36</v>
      </c>
      <c r="D222" t="s">
        <v>370</v>
      </c>
      <c r="E222" t="s">
        <v>82</v>
      </c>
      <c r="F222" t="s">
        <v>82</v>
      </c>
      <c r="G222" t="s">
        <v>124</v>
      </c>
      <c r="H222" t="s">
        <v>367</v>
      </c>
      <c r="I222" t="s">
        <v>133</v>
      </c>
      <c r="J222" t="s">
        <v>334</v>
      </c>
      <c r="K222" t="b">
        <v>0</v>
      </c>
      <c r="L222" t="s">
        <v>130</v>
      </c>
    </row>
    <row r="223" spans="1:12" x14ac:dyDescent="0.3">
      <c r="A223" t="s">
        <v>8</v>
      </c>
      <c r="B223" t="s">
        <v>332</v>
      </c>
      <c r="C223">
        <v>37</v>
      </c>
      <c r="D223" t="s">
        <v>371</v>
      </c>
      <c r="E223" t="s">
        <v>67</v>
      </c>
      <c r="F223" t="s">
        <v>67</v>
      </c>
      <c r="G223" t="s">
        <v>124</v>
      </c>
      <c r="H223" t="s">
        <v>367</v>
      </c>
      <c r="I223" t="s">
        <v>133</v>
      </c>
      <c r="J223" t="s">
        <v>334</v>
      </c>
      <c r="K223" t="b">
        <v>0</v>
      </c>
      <c r="L223" t="s">
        <v>130</v>
      </c>
    </row>
    <row r="224" spans="1:12" x14ac:dyDescent="0.3">
      <c r="A224" t="s">
        <v>8</v>
      </c>
      <c r="B224" t="s">
        <v>332</v>
      </c>
      <c r="C224">
        <v>38</v>
      </c>
      <c r="D224" t="s">
        <v>372</v>
      </c>
      <c r="E224" t="s">
        <v>83</v>
      </c>
      <c r="F224" t="s">
        <v>83</v>
      </c>
      <c r="G224" t="s">
        <v>124</v>
      </c>
      <c r="H224" t="s">
        <v>367</v>
      </c>
      <c r="I224" t="s">
        <v>133</v>
      </c>
      <c r="J224" t="s">
        <v>334</v>
      </c>
      <c r="K224" t="b">
        <v>0</v>
      </c>
      <c r="L224" t="s">
        <v>130</v>
      </c>
    </row>
    <row r="225" spans="1:12" x14ac:dyDescent="0.3">
      <c r="A225" t="s">
        <v>8</v>
      </c>
      <c r="B225" t="s">
        <v>332</v>
      </c>
      <c r="C225">
        <v>39</v>
      </c>
      <c r="D225" t="s">
        <v>373</v>
      </c>
      <c r="E225" t="s">
        <v>57</v>
      </c>
      <c r="F225" t="s">
        <v>57</v>
      </c>
      <c r="G225" t="s">
        <v>124</v>
      </c>
      <c r="H225" t="s">
        <v>367</v>
      </c>
      <c r="I225" t="s">
        <v>133</v>
      </c>
      <c r="J225" t="s">
        <v>334</v>
      </c>
      <c r="K225" t="b">
        <v>0</v>
      </c>
      <c r="L225" t="s">
        <v>130</v>
      </c>
    </row>
    <row r="226" spans="1:12" x14ac:dyDescent="0.3">
      <c r="A226" t="s">
        <v>8</v>
      </c>
      <c r="B226" t="s">
        <v>332</v>
      </c>
      <c r="C226">
        <v>40</v>
      </c>
      <c r="D226" t="s">
        <v>374</v>
      </c>
      <c r="E226" t="s">
        <v>64</v>
      </c>
      <c r="F226" t="s">
        <v>64</v>
      </c>
      <c r="G226" t="s">
        <v>124</v>
      </c>
      <c r="H226" t="s">
        <v>367</v>
      </c>
      <c r="I226" t="s">
        <v>133</v>
      </c>
      <c r="J226" t="s">
        <v>334</v>
      </c>
      <c r="K226" t="b">
        <v>0</v>
      </c>
      <c r="L226" t="s">
        <v>130</v>
      </c>
    </row>
    <row r="227" spans="1:12" x14ac:dyDescent="0.3">
      <c r="A227" t="s">
        <v>8</v>
      </c>
      <c r="B227" t="s">
        <v>332</v>
      </c>
      <c r="C227">
        <v>41</v>
      </c>
      <c r="D227" t="s">
        <v>375</v>
      </c>
      <c r="E227" t="s">
        <v>54</v>
      </c>
      <c r="F227" t="s">
        <v>54</v>
      </c>
      <c r="G227" t="s">
        <v>124</v>
      </c>
      <c r="H227" t="s">
        <v>367</v>
      </c>
      <c r="I227" t="s">
        <v>133</v>
      </c>
      <c r="J227" t="s">
        <v>334</v>
      </c>
      <c r="K227" t="b">
        <v>0</v>
      </c>
      <c r="L227" t="s">
        <v>130</v>
      </c>
    </row>
    <row r="228" spans="1:12" x14ac:dyDescent="0.3">
      <c r="A228" t="s">
        <v>8</v>
      </c>
      <c r="B228" t="s">
        <v>332</v>
      </c>
      <c r="C228">
        <v>42</v>
      </c>
      <c r="D228" t="s">
        <v>376</v>
      </c>
      <c r="E228" t="s">
        <v>84</v>
      </c>
      <c r="F228" t="s">
        <v>84</v>
      </c>
      <c r="G228" t="s">
        <v>124</v>
      </c>
      <c r="H228" t="s">
        <v>367</v>
      </c>
      <c r="I228" t="s">
        <v>133</v>
      </c>
      <c r="J228" t="s">
        <v>334</v>
      </c>
      <c r="K228" t="b">
        <v>0</v>
      </c>
      <c r="L228" t="s">
        <v>130</v>
      </c>
    </row>
    <row r="229" spans="1:12" x14ac:dyDescent="0.3">
      <c r="A229" t="s">
        <v>8</v>
      </c>
      <c r="B229" t="s">
        <v>332</v>
      </c>
      <c r="C229">
        <v>43</v>
      </c>
      <c r="D229" t="s">
        <v>377</v>
      </c>
      <c r="E229" t="s">
        <v>69</v>
      </c>
      <c r="F229" t="s">
        <v>69</v>
      </c>
      <c r="G229" t="s">
        <v>124</v>
      </c>
      <c r="H229" t="s">
        <v>367</v>
      </c>
      <c r="I229" t="s">
        <v>133</v>
      </c>
      <c r="J229" t="s">
        <v>334</v>
      </c>
      <c r="K229" t="b">
        <v>0</v>
      </c>
      <c r="L229" t="s">
        <v>130</v>
      </c>
    </row>
    <row r="230" spans="1:12" x14ac:dyDescent="0.3">
      <c r="A230" t="s">
        <v>8</v>
      </c>
      <c r="B230" t="s">
        <v>332</v>
      </c>
      <c r="C230">
        <v>44</v>
      </c>
      <c r="D230" t="s">
        <v>378</v>
      </c>
      <c r="E230" t="s">
        <v>119</v>
      </c>
      <c r="F230" t="s">
        <v>119</v>
      </c>
      <c r="G230" t="s">
        <v>38</v>
      </c>
      <c r="H230" t="s">
        <v>158</v>
      </c>
      <c r="I230" t="s">
        <v>133</v>
      </c>
      <c r="J230" t="s">
        <v>334</v>
      </c>
      <c r="K230" t="b">
        <v>0</v>
      </c>
      <c r="L230" t="s">
        <v>130</v>
      </c>
    </row>
    <row r="231" spans="1:12" x14ac:dyDescent="0.3">
      <c r="A231" t="s">
        <v>8</v>
      </c>
      <c r="B231" t="s">
        <v>332</v>
      </c>
      <c r="C231">
        <v>45</v>
      </c>
      <c r="D231" t="s">
        <v>379</v>
      </c>
      <c r="E231" t="s">
        <v>49</v>
      </c>
      <c r="F231" t="s">
        <v>49</v>
      </c>
      <c r="G231" t="s">
        <v>38</v>
      </c>
      <c r="H231" t="s">
        <v>158</v>
      </c>
      <c r="I231" t="s">
        <v>133</v>
      </c>
      <c r="J231" t="s">
        <v>334</v>
      </c>
      <c r="K231" t="b">
        <v>0</v>
      </c>
      <c r="L231" t="s">
        <v>130</v>
      </c>
    </row>
    <row r="232" spans="1:12" x14ac:dyDescent="0.3">
      <c r="A232" t="s">
        <v>8</v>
      </c>
      <c r="B232" t="s">
        <v>332</v>
      </c>
      <c r="C232">
        <v>46</v>
      </c>
      <c r="D232" t="s">
        <v>380</v>
      </c>
      <c r="E232" t="s">
        <v>37</v>
      </c>
      <c r="F232" t="s">
        <v>37</v>
      </c>
      <c r="G232" t="s">
        <v>38</v>
      </c>
      <c r="H232" t="s">
        <v>158</v>
      </c>
      <c r="I232" t="s">
        <v>133</v>
      </c>
      <c r="J232" t="s">
        <v>334</v>
      </c>
      <c r="K232" t="b">
        <v>0</v>
      </c>
      <c r="L232" t="s">
        <v>130</v>
      </c>
    </row>
    <row r="233" spans="1:12" x14ac:dyDescent="0.3">
      <c r="A233" t="s">
        <v>8</v>
      </c>
      <c r="B233" t="s">
        <v>332</v>
      </c>
      <c r="C233">
        <v>47</v>
      </c>
      <c r="D233" t="s">
        <v>381</v>
      </c>
      <c r="E233" t="s">
        <v>40</v>
      </c>
      <c r="F233" t="s">
        <v>40</v>
      </c>
      <c r="G233" t="s">
        <v>38</v>
      </c>
      <c r="H233" t="s">
        <v>158</v>
      </c>
      <c r="I233" t="s">
        <v>133</v>
      </c>
      <c r="J233" t="s">
        <v>334</v>
      </c>
      <c r="K233" t="b">
        <v>0</v>
      </c>
      <c r="L233" t="s">
        <v>130</v>
      </c>
    </row>
    <row r="234" spans="1:12" x14ac:dyDescent="0.3">
      <c r="A234" t="s">
        <v>8</v>
      </c>
      <c r="B234" t="s">
        <v>332</v>
      </c>
      <c r="C234">
        <v>48</v>
      </c>
      <c r="D234" t="s">
        <v>382</v>
      </c>
      <c r="E234" t="s">
        <v>41</v>
      </c>
      <c r="F234" t="s">
        <v>41</v>
      </c>
      <c r="G234" t="s">
        <v>38</v>
      </c>
      <c r="H234" t="s">
        <v>158</v>
      </c>
      <c r="I234" t="s">
        <v>133</v>
      </c>
      <c r="J234" t="s">
        <v>334</v>
      </c>
      <c r="K234" t="b">
        <v>0</v>
      </c>
      <c r="L234" t="s">
        <v>130</v>
      </c>
    </row>
    <row r="235" spans="1:12" x14ac:dyDescent="0.3">
      <c r="A235" t="s">
        <v>8</v>
      </c>
      <c r="B235" t="s">
        <v>332</v>
      </c>
      <c r="C235">
        <v>49</v>
      </c>
      <c r="D235" t="s">
        <v>383</v>
      </c>
      <c r="E235" t="s">
        <v>120</v>
      </c>
      <c r="F235" t="s">
        <v>120</v>
      </c>
      <c r="G235" t="s">
        <v>38</v>
      </c>
      <c r="H235" t="s">
        <v>158</v>
      </c>
      <c r="I235" t="s">
        <v>133</v>
      </c>
      <c r="J235" t="s">
        <v>334</v>
      </c>
      <c r="K235" t="b">
        <v>0</v>
      </c>
      <c r="L235" t="s">
        <v>130</v>
      </c>
    </row>
    <row r="236" spans="1:12" x14ac:dyDescent="0.3">
      <c r="A236" t="s">
        <v>8</v>
      </c>
      <c r="B236" t="s">
        <v>332</v>
      </c>
      <c r="C236">
        <v>50</v>
      </c>
      <c r="D236" t="s">
        <v>384</v>
      </c>
      <c r="E236" t="s">
        <v>39</v>
      </c>
      <c r="F236" t="s">
        <v>39</v>
      </c>
      <c r="G236" t="s">
        <v>38</v>
      </c>
      <c r="H236" t="s">
        <v>158</v>
      </c>
      <c r="I236" t="s">
        <v>133</v>
      </c>
      <c r="J236" t="s">
        <v>334</v>
      </c>
      <c r="K236" t="b">
        <v>0</v>
      </c>
      <c r="L236" t="s">
        <v>130</v>
      </c>
    </row>
    <row r="237" spans="1:12" x14ac:dyDescent="0.3">
      <c r="A237" t="s">
        <v>8</v>
      </c>
      <c r="B237" t="s">
        <v>332</v>
      </c>
      <c r="C237">
        <v>51</v>
      </c>
      <c r="D237" t="s">
        <v>385</v>
      </c>
      <c r="E237" t="s">
        <v>123</v>
      </c>
      <c r="F237" t="s">
        <v>123</v>
      </c>
      <c r="G237" t="s">
        <v>118</v>
      </c>
      <c r="H237" t="s">
        <v>274</v>
      </c>
      <c r="I237" t="s">
        <v>133</v>
      </c>
      <c r="J237" t="s">
        <v>334</v>
      </c>
      <c r="K237" t="b">
        <v>0</v>
      </c>
      <c r="L237" t="s">
        <v>130</v>
      </c>
    </row>
    <row r="238" spans="1:12" x14ac:dyDescent="0.3">
      <c r="A238" t="s">
        <v>8</v>
      </c>
      <c r="B238" t="s">
        <v>332</v>
      </c>
      <c r="C238">
        <v>52</v>
      </c>
      <c r="D238" t="s">
        <v>386</v>
      </c>
      <c r="E238" t="s">
        <v>115</v>
      </c>
      <c r="F238" t="s">
        <v>115</v>
      </c>
      <c r="G238" t="s">
        <v>118</v>
      </c>
      <c r="H238" t="s">
        <v>274</v>
      </c>
      <c r="I238" t="s">
        <v>133</v>
      </c>
      <c r="J238" t="s">
        <v>334</v>
      </c>
      <c r="K238" t="b">
        <v>0</v>
      </c>
      <c r="L238" t="s">
        <v>130</v>
      </c>
    </row>
    <row r="239" spans="1:12" x14ac:dyDescent="0.3">
      <c r="A239" t="s">
        <v>8</v>
      </c>
      <c r="B239" t="s">
        <v>332</v>
      </c>
      <c r="C239">
        <v>53</v>
      </c>
      <c r="D239" t="s">
        <v>387</v>
      </c>
      <c r="E239" t="s">
        <v>116</v>
      </c>
      <c r="F239" t="s">
        <v>116</v>
      </c>
      <c r="G239" t="s">
        <v>118</v>
      </c>
      <c r="H239" t="s">
        <v>274</v>
      </c>
      <c r="I239" t="s">
        <v>133</v>
      </c>
      <c r="J239" t="s">
        <v>334</v>
      </c>
      <c r="K239" t="b">
        <v>0</v>
      </c>
      <c r="L239" t="s">
        <v>130</v>
      </c>
    </row>
    <row r="240" spans="1:12" x14ac:dyDescent="0.3">
      <c r="A240" t="s">
        <v>8</v>
      </c>
      <c r="B240" t="s">
        <v>332</v>
      </c>
      <c r="C240">
        <v>54</v>
      </c>
      <c r="D240" t="s">
        <v>388</v>
      </c>
      <c r="E240" t="s">
        <v>117</v>
      </c>
      <c r="F240" t="s">
        <v>117</v>
      </c>
      <c r="G240" t="s">
        <v>118</v>
      </c>
      <c r="H240" t="s">
        <v>274</v>
      </c>
      <c r="I240" t="s">
        <v>133</v>
      </c>
      <c r="J240" t="s">
        <v>334</v>
      </c>
      <c r="K240" t="b">
        <v>0</v>
      </c>
      <c r="L240" t="s">
        <v>130</v>
      </c>
    </row>
    <row r="241" spans="1:12" x14ac:dyDescent="0.3">
      <c r="A241" t="s">
        <v>8</v>
      </c>
      <c r="B241" t="s">
        <v>332</v>
      </c>
      <c r="C241">
        <v>55</v>
      </c>
      <c r="D241" t="s">
        <v>389</v>
      </c>
      <c r="E241" t="s">
        <v>127</v>
      </c>
      <c r="F241" t="s">
        <v>127</v>
      </c>
      <c r="G241" t="s">
        <v>85</v>
      </c>
      <c r="H241" t="s">
        <v>279</v>
      </c>
      <c r="I241" t="s">
        <v>133</v>
      </c>
      <c r="J241" t="s">
        <v>334</v>
      </c>
      <c r="K241" t="b">
        <v>0</v>
      </c>
      <c r="L241" t="s">
        <v>130</v>
      </c>
    </row>
    <row r="242" spans="1:12" x14ac:dyDescent="0.3">
      <c r="A242" t="s">
        <v>8</v>
      </c>
      <c r="B242" t="s">
        <v>332</v>
      </c>
      <c r="C242">
        <v>56</v>
      </c>
      <c r="D242" t="s">
        <v>390</v>
      </c>
      <c r="E242" t="s">
        <v>128</v>
      </c>
      <c r="F242" t="s">
        <v>128</v>
      </c>
      <c r="G242" t="s">
        <v>85</v>
      </c>
      <c r="H242" t="s">
        <v>279</v>
      </c>
      <c r="I242" t="s">
        <v>133</v>
      </c>
      <c r="J242" t="s">
        <v>334</v>
      </c>
      <c r="K242" t="b">
        <v>0</v>
      </c>
      <c r="L242" t="s">
        <v>130</v>
      </c>
    </row>
    <row r="243" spans="1:12" x14ac:dyDescent="0.3">
      <c r="A243" t="s">
        <v>8</v>
      </c>
      <c r="B243" t="s">
        <v>332</v>
      </c>
      <c r="C243">
        <v>57</v>
      </c>
      <c r="D243" t="s">
        <v>391</v>
      </c>
      <c r="E243" t="s">
        <v>125</v>
      </c>
      <c r="F243" t="s">
        <v>125</v>
      </c>
      <c r="G243" t="s">
        <v>85</v>
      </c>
      <c r="H243" t="s">
        <v>279</v>
      </c>
      <c r="I243" t="s">
        <v>133</v>
      </c>
      <c r="J243" t="s">
        <v>334</v>
      </c>
      <c r="K243" t="b">
        <v>0</v>
      </c>
      <c r="L243" t="s">
        <v>130</v>
      </c>
    </row>
    <row r="244" spans="1:12" x14ac:dyDescent="0.3">
      <c r="A244" t="s">
        <v>8</v>
      </c>
      <c r="B244" t="s">
        <v>332</v>
      </c>
      <c r="C244">
        <v>58</v>
      </c>
      <c r="D244" t="s">
        <v>392</v>
      </c>
      <c r="E244" t="s">
        <v>126</v>
      </c>
      <c r="F244" t="s">
        <v>126</v>
      </c>
      <c r="G244" t="s">
        <v>85</v>
      </c>
      <c r="H244" t="s">
        <v>279</v>
      </c>
      <c r="I244" t="s">
        <v>133</v>
      </c>
      <c r="J244" t="s">
        <v>334</v>
      </c>
      <c r="K244" t="b">
        <v>0</v>
      </c>
      <c r="L244" t="s">
        <v>130</v>
      </c>
    </row>
    <row r="245" spans="1:12" x14ac:dyDescent="0.3">
      <c r="A245" t="s">
        <v>8</v>
      </c>
      <c r="B245" t="s">
        <v>332</v>
      </c>
      <c r="C245">
        <v>59</v>
      </c>
      <c r="D245" t="s">
        <v>393</v>
      </c>
      <c r="E245" t="s">
        <v>129</v>
      </c>
      <c r="F245" t="s">
        <v>129</v>
      </c>
      <c r="G245" t="s">
        <v>85</v>
      </c>
      <c r="H245" t="s">
        <v>279</v>
      </c>
      <c r="I245" t="s">
        <v>133</v>
      </c>
      <c r="J245" t="s">
        <v>334</v>
      </c>
      <c r="K245" t="b">
        <v>0</v>
      </c>
      <c r="L245" t="s">
        <v>130</v>
      </c>
    </row>
    <row r="246" spans="1:12" x14ac:dyDescent="0.3">
      <c r="A246" t="s">
        <v>8</v>
      </c>
      <c r="B246" t="s">
        <v>332</v>
      </c>
      <c r="C246">
        <v>60</v>
      </c>
      <c r="D246" t="s">
        <v>394</v>
      </c>
      <c r="E246" t="s">
        <v>94</v>
      </c>
      <c r="F246" t="s">
        <v>94</v>
      </c>
      <c r="G246" t="s">
        <v>108</v>
      </c>
      <c r="H246" t="s">
        <v>289</v>
      </c>
      <c r="I246" t="s">
        <v>133</v>
      </c>
      <c r="J246" t="s">
        <v>334</v>
      </c>
      <c r="K246" t="b">
        <v>0</v>
      </c>
      <c r="L246" t="s">
        <v>130</v>
      </c>
    </row>
    <row r="247" spans="1:12" x14ac:dyDescent="0.3">
      <c r="A247" t="s">
        <v>8</v>
      </c>
      <c r="B247" t="s">
        <v>332</v>
      </c>
      <c r="C247">
        <v>61</v>
      </c>
      <c r="D247" t="s">
        <v>395</v>
      </c>
      <c r="E247" t="s">
        <v>95</v>
      </c>
      <c r="F247" t="s">
        <v>95</v>
      </c>
      <c r="G247" t="s">
        <v>108</v>
      </c>
      <c r="H247" t="s">
        <v>289</v>
      </c>
      <c r="I247" t="s">
        <v>133</v>
      </c>
      <c r="J247" t="s">
        <v>334</v>
      </c>
      <c r="K247" t="b">
        <v>0</v>
      </c>
      <c r="L247" t="s">
        <v>130</v>
      </c>
    </row>
    <row r="248" spans="1:12" x14ac:dyDescent="0.3">
      <c r="A248" t="s">
        <v>8</v>
      </c>
      <c r="B248" t="s">
        <v>332</v>
      </c>
      <c r="C248">
        <v>62</v>
      </c>
      <c r="D248" t="s">
        <v>396</v>
      </c>
      <c r="E248" t="s">
        <v>96</v>
      </c>
      <c r="F248" t="s">
        <v>96</v>
      </c>
      <c r="G248" t="s">
        <v>108</v>
      </c>
      <c r="H248" t="s">
        <v>289</v>
      </c>
      <c r="I248" t="s">
        <v>133</v>
      </c>
      <c r="J248" t="s">
        <v>334</v>
      </c>
      <c r="K248" t="b">
        <v>0</v>
      </c>
      <c r="L248" t="s">
        <v>130</v>
      </c>
    </row>
    <row r="249" spans="1:12" x14ac:dyDescent="0.3">
      <c r="A249" t="s">
        <v>8</v>
      </c>
      <c r="B249" t="s">
        <v>332</v>
      </c>
      <c r="C249">
        <v>63</v>
      </c>
      <c r="D249" t="s">
        <v>397</v>
      </c>
      <c r="E249" t="s">
        <v>86</v>
      </c>
      <c r="F249" t="s">
        <v>86</v>
      </c>
      <c r="G249" t="s">
        <v>108</v>
      </c>
      <c r="H249" t="s">
        <v>289</v>
      </c>
      <c r="I249" t="s">
        <v>133</v>
      </c>
      <c r="J249" t="s">
        <v>334</v>
      </c>
      <c r="K249" t="b">
        <v>0</v>
      </c>
      <c r="L249" t="s">
        <v>130</v>
      </c>
    </row>
    <row r="250" spans="1:12" x14ac:dyDescent="0.3">
      <c r="A250" t="s">
        <v>8</v>
      </c>
      <c r="B250" t="s">
        <v>332</v>
      </c>
      <c r="C250">
        <v>64</v>
      </c>
      <c r="D250" t="s">
        <v>398</v>
      </c>
      <c r="E250" t="s">
        <v>87</v>
      </c>
      <c r="F250" t="s">
        <v>87</v>
      </c>
      <c r="G250" t="s">
        <v>108</v>
      </c>
      <c r="H250" t="s">
        <v>289</v>
      </c>
      <c r="I250" t="s">
        <v>133</v>
      </c>
      <c r="J250" t="s">
        <v>334</v>
      </c>
      <c r="K250" t="b">
        <v>0</v>
      </c>
      <c r="L250" t="s">
        <v>130</v>
      </c>
    </row>
    <row r="251" spans="1:12" x14ac:dyDescent="0.3">
      <c r="A251" t="s">
        <v>8</v>
      </c>
      <c r="B251" t="s">
        <v>332</v>
      </c>
      <c r="C251">
        <v>65</v>
      </c>
      <c r="D251" t="s">
        <v>399</v>
      </c>
      <c r="E251" t="s">
        <v>97</v>
      </c>
      <c r="F251" t="s">
        <v>97</v>
      </c>
      <c r="G251" t="s">
        <v>108</v>
      </c>
      <c r="H251" t="s">
        <v>289</v>
      </c>
      <c r="I251" t="s">
        <v>133</v>
      </c>
      <c r="J251" t="s">
        <v>334</v>
      </c>
      <c r="K251" t="b">
        <v>0</v>
      </c>
      <c r="L251" t="s">
        <v>130</v>
      </c>
    </row>
    <row r="252" spans="1:12" x14ac:dyDescent="0.3">
      <c r="A252" t="s">
        <v>8</v>
      </c>
      <c r="B252" t="s">
        <v>332</v>
      </c>
      <c r="C252">
        <v>66</v>
      </c>
      <c r="D252" t="s">
        <v>400</v>
      </c>
      <c r="E252" t="s">
        <v>98</v>
      </c>
      <c r="F252" t="s">
        <v>98</v>
      </c>
      <c r="G252" t="s">
        <v>108</v>
      </c>
      <c r="H252" t="s">
        <v>289</v>
      </c>
      <c r="I252" t="s">
        <v>133</v>
      </c>
      <c r="J252" t="s">
        <v>334</v>
      </c>
      <c r="K252" t="b">
        <v>0</v>
      </c>
      <c r="L252" t="s">
        <v>130</v>
      </c>
    </row>
    <row r="253" spans="1:12" x14ac:dyDescent="0.3">
      <c r="A253" t="s">
        <v>8</v>
      </c>
      <c r="B253" t="s">
        <v>332</v>
      </c>
      <c r="C253">
        <v>67</v>
      </c>
      <c r="D253" t="s">
        <v>401</v>
      </c>
      <c r="E253" t="s">
        <v>88</v>
      </c>
      <c r="F253" t="s">
        <v>88</v>
      </c>
      <c r="G253" t="s">
        <v>108</v>
      </c>
      <c r="H253" t="s">
        <v>289</v>
      </c>
      <c r="I253" t="s">
        <v>133</v>
      </c>
      <c r="J253" t="s">
        <v>334</v>
      </c>
      <c r="K253" t="b">
        <v>0</v>
      </c>
      <c r="L253" t="s">
        <v>130</v>
      </c>
    </row>
    <row r="254" spans="1:12" x14ac:dyDescent="0.3">
      <c r="A254" t="s">
        <v>8</v>
      </c>
      <c r="B254" t="s">
        <v>332</v>
      </c>
      <c r="C254">
        <v>68</v>
      </c>
      <c r="D254" t="s">
        <v>402</v>
      </c>
      <c r="E254" t="s">
        <v>89</v>
      </c>
      <c r="F254" t="s">
        <v>89</v>
      </c>
      <c r="G254" t="s">
        <v>108</v>
      </c>
      <c r="H254" t="s">
        <v>289</v>
      </c>
      <c r="I254" t="s">
        <v>133</v>
      </c>
      <c r="J254" t="s">
        <v>334</v>
      </c>
      <c r="K254" t="b">
        <v>0</v>
      </c>
      <c r="L254" t="s">
        <v>130</v>
      </c>
    </row>
    <row r="255" spans="1:12" x14ac:dyDescent="0.3">
      <c r="A255" t="s">
        <v>8</v>
      </c>
      <c r="B255" t="s">
        <v>332</v>
      </c>
      <c r="C255">
        <v>69</v>
      </c>
      <c r="D255" t="s">
        <v>403</v>
      </c>
      <c r="E255" t="s">
        <v>89</v>
      </c>
      <c r="F255" t="s">
        <v>89</v>
      </c>
      <c r="G255" t="s">
        <v>108</v>
      </c>
      <c r="H255" t="s">
        <v>289</v>
      </c>
      <c r="I255" t="s">
        <v>133</v>
      </c>
      <c r="J255" t="s">
        <v>334</v>
      </c>
      <c r="K255" t="b">
        <v>0</v>
      </c>
      <c r="L255" t="s">
        <v>130</v>
      </c>
    </row>
    <row r="256" spans="1:12" x14ac:dyDescent="0.3">
      <c r="A256" t="s">
        <v>8</v>
      </c>
      <c r="B256" t="s">
        <v>332</v>
      </c>
      <c r="C256">
        <v>70</v>
      </c>
      <c r="D256" t="s">
        <v>404</v>
      </c>
      <c r="E256" t="s">
        <v>100</v>
      </c>
      <c r="F256" t="s">
        <v>100</v>
      </c>
      <c r="G256" t="s">
        <v>108</v>
      </c>
      <c r="H256" t="s">
        <v>289</v>
      </c>
      <c r="I256" t="s">
        <v>133</v>
      </c>
      <c r="J256" t="s">
        <v>334</v>
      </c>
      <c r="K256" t="b">
        <v>0</v>
      </c>
      <c r="L256" t="s">
        <v>130</v>
      </c>
    </row>
    <row r="257" spans="1:12" x14ac:dyDescent="0.3">
      <c r="A257" t="s">
        <v>8</v>
      </c>
      <c r="B257" t="s">
        <v>332</v>
      </c>
      <c r="C257">
        <v>71</v>
      </c>
      <c r="D257" t="s">
        <v>405</v>
      </c>
      <c r="E257" t="s">
        <v>99</v>
      </c>
      <c r="F257" t="s">
        <v>99</v>
      </c>
      <c r="G257" t="s">
        <v>108</v>
      </c>
      <c r="H257" t="s">
        <v>289</v>
      </c>
      <c r="I257" t="s">
        <v>133</v>
      </c>
      <c r="J257" t="s">
        <v>334</v>
      </c>
      <c r="K257" t="b">
        <v>0</v>
      </c>
      <c r="L257" t="s">
        <v>130</v>
      </c>
    </row>
    <row r="258" spans="1:12" x14ac:dyDescent="0.3">
      <c r="A258" t="s">
        <v>8</v>
      </c>
      <c r="B258" t="s">
        <v>332</v>
      </c>
      <c r="C258">
        <v>72</v>
      </c>
      <c r="D258" t="s">
        <v>406</v>
      </c>
      <c r="E258" t="s">
        <v>90</v>
      </c>
      <c r="F258" t="s">
        <v>90</v>
      </c>
      <c r="G258" t="s">
        <v>108</v>
      </c>
      <c r="H258" t="s">
        <v>289</v>
      </c>
      <c r="I258" t="s">
        <v>133</v>
      </c>
      <c r="J258" t="s">
        <v>334</v>
      </c>
      <c r="K258" t="b">
        <v>0</v>
      </c>
      <c r="L258" t="s">
        <v>130</v>
      </c>
    </row>
    <row r="259" spans="1:12" x14ac:dyDescent="0.3">
      <c r="A259" t="s">
        <v>8</v>
      </c>
      <c r="B259" t="s">
        <v>332</v>
      </c>
      <c r="C259">
        <v>73</v>
      </c>
      <c r="D259" t="s">
        <v>407</v>
      </c>
      <c r="E259" t="s">
        <v>101</v>
      </c>
      <c r="F259" t="s">
        <v>101</v>
      </c>
      <c r="G259" t="s">
        <v>108</v>
      </c>
      <c r="H259" t="s">
        <v>289</v>
      </c>
      <c r="I259" t="s">
        <v>133</v>
      </c>
      <c r="J259" t="s">
        <v>334</v>
      </c>
      <c r="K259" t="b">
        <v>0</v>
      </c>
      <c r="L259" t="s">
        <v>130</v>
      </c>
    </row>
    <row r="260" spans="1:12" x14ac:dyDescent="0.3">
      <c r="A260" t="s">
        <v>8</v>
      </c>
      <c r="B260" t="s">
        <v>332</v>
      </c>
      <c r="C260">
        <v>74</v>
      </c>
      <c r="D260" t="s">
        <v>408</v>
      </c>
      <c r="E260" t="s">
        <v>102</v>
      </c>
      <c r="F260" t="s">
        <v>102</v>
      </c>
      <c r="G260" t="s">
        <v>108</v>
      </c>
      <c r="H260" t="s">
        <v>289</v>
      </c>
      <c r="I260" t="s">
        <v>133</v>
      </c>
      <c r="J260" t="s">
        <v>334</v>
      </c>
      <c r="K260" t="b">
        <v>0</v>
      </c>
      <c r="L260" t="s">
        <v>130</v>
      </c>
    </row>
    <row r="261" spans="1:12" x14ac:dyDescent="0.3">
      <c r="A261" t="s">
        <v>8</v>
      </c>
      <c r="B261" t="s">
        <v>332</v>
      </c>
      <c r="C261">
        <v>75</v>
      </c>
      <c r="D261" t="s">
        <v>409</v>
      </c>
      <c r="E261" t="s">
        <v>103</v>
      </c>
      <c r="F261" t="s">
        <v>103</v>
      </c>
      <c r="G261" t="s">
        <v>108</v>
      </c>
      <c r="H261" t="s">
        <v>289</v>
      </c>
      <c r="I261" t="s">
        <v>133</v>
      </c>
      <c r="J261" t="s">
        <v>334</v>
      </c>
      <c r="K261" t="b">
        <v>0</v>
      </c>
      <c r="L261" t="s">
        <v>130</v>
      </c>
    </row>
    <row r="262" spans="1:12" x14ac:dyDescent="0.3">
      <c r="A262" t="s">
        <v>8</v>
      </c>
      <c r="B262" t="s">
        <v>332</v>
      </c>
      <c r="C262">
        <v>76</v>
      </c>
      <c r="D262" t="s">
        <v>410</v>
      </c>
      <c r="E262" t="s">
        <v>104</v>
      </c>
      <c r="F262" t="s">
        <v>104</v>
      </c>
      <c r="G262" t="s">
        <v>108</v>
      </c>
      <c r="H262" t="s">
        <v>289</v>
      </c>
      <c r="I262" t="s">
        <v>133</v>
      </c>
      <c r="J262" t="s">
        <v>334</v>
      </c>
      <c r="K262" t="b">
        <v>0</v>
      </c>
      <c r="L262" t="s">
        <v>130</v>
      </c>
    </row>
    <row r="263" spans="1:12" x14ac:dyDescent="0.3">
      <c r="A263" t="s">
        <v>8</v>
      </c>
      <c r="B263" t="s">
        <v>332</v>
      </c>
      <c r="C263">
        <v>77</v>
      </c>
      <c r="D263" t="s">
        <v>411</v>
      </c>
      <c r="E263" t="s">
        <v>105</v>
      </c>
      <c r="F263" t="s">
        <v>105</v>
      </c>
      <c r="G263" t="s">
        <v>108</v>
      </c>
      <c r="H263" t="s">
        <v>289</v>
      </c>
      <c r="I263" t="s">
        <v>133</v>
      </c>
      <c r="J263" t="s">
        <v>334</v>
      </c>
      <c r="K263" t="b">
        <v>0</v>
      </c>
      <c r="L263" t="s">
        <v>130</v>
      </c>
    </row>
    <row r="264" spans="1:12" x14ac:dyDescent="0.3">
      <c r="A264" t="s">
        <v>8</v>
      </c>
      <c r="B264" t="s">
        <v>332</v>
      </c>
      <c r="C264">
        <v>78</v>
      </c>
      <c r="D264" t="s">
        <v>412</v>
      </c>
      <c r="E264" t="s">
        <v>91</v>
      </c>
      <c r="F264" t="s">
        <v>91</v>
      </c>
      <c r="G264" t="s">
        <v>108</v>
      </c>
      <c r="H264" t="s">
        <v>289</v>
      </c>
      <c r="I264" t="s">
        <v>133</v>
      </c>
      <c r="J264" t="s">
        <v>334</v>
      </c>
      <c r="K264" t="b">
        <v>0</v>
      </c>
      <c r="L264" t="s">
        <v>130</v>
      </c>
    </row>
    <row r="265" spans="1:12" x14ac:dyDescent="0.3">
      <c r="A265" t="s">
        <v>8</v>
      </c>
      <c r="B265" t="s">
        <v>332</v>
      </c>
      <c r="C265">
        <v>79</v>
      </c>
      <c r="D265" t="s">
        <v>413</v>
      </c>
      <c r="E265" t="s">
        <v>91</v>
      </c>
      <c r="F265" t="s">
        <v>91</v>
      </c>
      <c r="G265" t="s">
        <v>108</v>
      </c>
      <c r="H265" t="s">
        <v>289</v>
      </c>
      <c r="I265" t="s">
        <v>133</v>
      </c>
      <c r="J265" t="s">
        <v>334</v>
      </c>
      <c r="K265" t="b">
        <v>0</v>
      </c>
      <c r="L265" t="s">
        <v>130</v>
      </c>
    </row>
    <row r="266" spans="1:12" x14ac:dyDescent="0.3">
      <c r="A266" t="s">
        <v>8</v>
      </c>
      <c r="B266" t="s">
        <v>332</v>
      </c>
      <c r="C266">
        <v>80</v>
      </c>
      <c r="D266" t="s">
        <v>414</v>
      </c>
      <c r="E266" t="s">
        <v>92</v>
      </c>
      <c r="F266" t="s">
        <v>92</v>
      </c>
      <c r="G266" t="s">
        <v>108</v>
      </c>
      <c r="H266" t="s">
        <v>289</v>
      </c>
      <c r="I266" t="s">
        <v>133</v>
      </c>
      <c r="J266" t="s">
        <v>334</v>
      </c>
      <c r="K266" t="b">
        <v>0</v>
      </c>
      <c r="L266" t="s">
        <v>130</v>
      </c>
    </row>
    <row r="267" spans="1:12" x14ac:dyDescent="0.3">
      <c r="A267" t="s">
        <v>8</v>
      </c>
      <c r="B267" t="s">
        <v>332</v>
      </c>
      <c r="C267">
        <v>81</v>
      </c>
      <c r="D267" t="s">
        <v>415</v>
      </c>
      <c r="E267" t="s">
        <v>93</v>
      </c>
      <c r="F267" t="s">
        <v>93</v>
      </c>
      <c r="G267" t="s">
        <v>108</v>
      </c>
      <c r="H267" t="s">
        <v>289</v>
      </c>
      <c r="I267" t="s">
        <v>133</v>
      </c>
      <c r="J267" t="s">
        <v>334</v>
      </c>
      <c r="K267" t="b">
        <v>0</v>
      </c>
      <c r="L267" t="s">
        <v>130</v>
      </c>
    </row>
    <row r="268" spans="1:12" x14ac:dyDescent="0.3">
      <c r="A268" t="s">
        <v>8</v>
      </c>
      <c r="B268" t="s">
        <v>332</v>
      </c>
      <c r="C268">
        <v>82</v>
      </c>
      <c r="D268" t="s">
        <v>416</v>
      </c>
      <c r="E268" t="s">
        <v>106</v>
      </c>
      <c r="F268" t="s">
        <v>106</v>
      </c>
      <c r="G268" t="s">
        <v>108</v>
      </c>
      <c r="H268" t="s">
        <v>289</v>
      </c>
      <c r="I268" t="s">
        <v>133</v>
      </c>
      <c r="J268" t="s">
        <v>334</v>
      </c>
      <c r="K268" t="b">
        <v>0</v>
      </c>
      <c r="L268" t="s">
        <v>130</v>
      </c>
    </row>
    <row r="269" spans="1:12" x14ac:dyDescent="0.3">
      <c r="A269" t="s">
        <v>8</v>
      </c>
      <c r="B269" t="s">
        <v>332</v>
      </c>
      <c r="C269">
        <v>83</v>
      </c>
      <c r="D269" t="s">
        <v>417</v>
      </c>
      <c r="E269" t="s">
        <v>107</v>
      </c>
      <c r="F269" t="s">
        <v>107</v>
      </c>
      <c r="G269" t="s">
        <v>108</v>
      </c>
      <c r="H269" t="s">
        <v>289</v>
      </c>
      <c r="I269" t="s">
        <v>133</v>
      </c>
      <c r="J269" t="s">
        <v>334</v>
      </c>
      <c r="K269" t="b">
        <v>0</v>
      </c>
      <c r="L269" t="s">
        <v>130</v>
      </c>
    </row>
    <row r="270" spans="1:12" x14ac:dyDescent="0.3">
      <c r="A270" t="s">
        <v>8</v>
      </c>
      <c r="B270" t="s">
        <v>332</v>
      </c>
      <c r="C270">
        <v>84</v>
      </c>
      <c r="D270" t="s">
        <v>418</v>
      </c>
      <c r="E270" t="s">
        <v>73</v>
      </c>
      <c r="F270" t="s">
        <v>73</v>
      </c>
      <c r="G270" t="s">
        <v>74</v>
      </c>
      <c r="H270" t="s">
        <v>320</v>
      </c>
      <c r="I270" t="s">
        <v>133</v>
      </c>
      <c r="J270" t="s">
        <v>334</v>
      </c>
      <c r="K270" t="b">
        <v>0</v>
      </c>
      <c r="L270" t="s">
        <v>130</v>
      </c>
    </row>
    <row r="271" spans="1:12" x14ac:dyDescent="0.3">
      <c r="A271" t="s">
        <v>8</v>
      </c>
      <c r="B271" t="s">
        <v>332</v>
      </c>
      <c r="C271">
        <v>85</v>
      </c>
      <c r="D271" t="s">
        <v>419</v>
      </c>
      <c r="E271" t="s">
        <v>75</v>
      </c>
      <c r="F271" t="s">
        <v>75</v>
      </c>
      <c r="G271" t="s">
        <v>74</v>
      </c>
      <c r="H271" t="s">
        <v>320</v>
      </c>
      <c r="I271" t="s">
        <v>133</v>
      </c>
      <c r="J271" t="s">
        <v>334</v>
      </c>
      <c r="K271" t="b">
        <v>0</v>
      </c>
      <c r="L271" t="s">
        <v>130</v>
      </c>
    </row>
    <row r="272" spans="1:12" x14ac:dyDescent="0.3">
      <c r="A272" t="s">
        <v>8</v>
      </c>
      <c r="B272" t="s">
        <v>332</v>
      </c>
      <c r="C272">
        <v>86</v>
      </c>
      <c r="D272" t="s">
        <v>420</v>
      </c>
      <c r="E272" t="s">
        <v>76</v>
      </c>
      <c r="F272" t="s">
        <v>76</v>
      </c>
      <c r="G272" t="s">
        <v>74</v>
      </c>
      <c r="H272" t="s">
        <v>320</v>
      </c>
      <c r="I272" t="s">
        <v>133</v>
      </c>
      <c r="J272" t="s">
        <v>334</v>
      </c>
      <c r="K272" t="b">
        <v>0</v>
      </c>
      <c r="L272" t="s">
        <v>130</v>
      </c>
    </row>
    <row r="273" spans="1:12" x14ac:dyDescent="0.3">
      <c r="A273" t="s">
        <v>8</v>
      </c>
      <c r="B273" t="s">
        <v>332</v>
      </c>
      <c r="C273">
        <v>87</v>
      </c>
      <c r="D273" t="s">
        <v>421</v>
      </c>
      <c r="E273" t="s">
        <v>78</v>
      </c>
      <c r="F273" t="s">
        <v>78</v>
      </c>
      <c r="G273" t="s">
        <v>80</v>
      </c>
      <c r="H273" t="s">
        <v>324</v>
      </c>
      <c r="I273" t="s">
        <v>133</v>
      </c>
      <c r="J273" t="s">
        <v>334</v>
      </c>
      <c r="K273" t="b">
        <v>0</v>
      </c>
      <c r="L273" t="s">
        <v>130</v>
      </c>
    </row>
    <row r="274" spans="1:12" x14ac:dyDescent="0.3">
      <c r="A274" t="s">
        <v>8</v>
      </c>
      <c r="B274" t="s">
        <v>332</v>
      </c>
      <c r="C274">
        <v>88</v>
      </c>
      <c r="D274" t="s">
        <v>422</v>
      </c>
      <c r="E274" t="s">
        <v>79</v>
      </c>
      <c r="F274" t="s">
        <v>79</v>
      </c>
      <c r="G274" t="s">
        <v>80</v>
      </c>
      <c r="H274" t="s">
        <v>324</v>
      </c>
      <c r="I274" t="s">
        <v>133</v>
      </c>
      <c r="J274" t="s">
        <v>334</v>
      </c>
      <c r="K274" t="b">
        <v>0</v>
      </c>
      <c r="L274" t="s">
        <v>130</v>
      </c>
    </row>
    <row r="275" spans="1:12" x14ac:dyDescent="0.3">
      <c r="A275" t="s">
        <v>8</v>
      </c>
      <c r="B275" t="s">
        <v>332</v>
      </c>
      <c r="C275">
        <v>89</v>
      </c>
      <c r="D275" t="s">
        <v>423</v>
      </c>
      <c r="E275" t="s">
        <v>11</v>
      </c>
      <c r="F275" t="s">
        <v>11</v>
      </c>
      <c r="G275" t="s">
        <v>80</v>
      </c>
      <c r="H275" t="s">
        <v>324</v>
      </c>
      <c r="I275" t="s">
        <v>133</v>
      </c>
      <c r="J275" t="s">
        <v>334</v>
      </c>
      <c r="K275" t="b">
        <v>0</v>
      </c>
      <c r="L275" t="s">
        <v>130</v>
      </c>
    </row>
    <row r="276" spans="1:12" x14ac:dyDescent="0.3">
      <c r="A276" t="s">
        <v>8</v>
      </c>
      <c r="B276" t="s">
        <v>332</v>
      </c>
      <c r="C276">
        <v>90</v>
      </c>
      <c r="D276" t="s">
        <v>424</v>
      </c>
      <c r="E276" t="s">
        <v>25</v>
      </c>
      <c r="F276" t="s">
        <v>25</v>
      </c>
      <c r="G276" t="s">
        <v>80</v>
      </c>
      <c r="H276" t="s">
        <v>324</v>
      </c>
      <c r="I276" t="s">
        <v>133</v>
      </c>
      <c r="J276" t="s">
        <v>334</v>
      </c>
      <c r="K276" t="b">
        <v>0</v>
      </c>
      <c r="L276" t="s">
        <v>130</v>
      </c>
    </row>
    <row r="277" spans="1:12" x14ac:dyDescent="0.3">
      <c r="A277" t="s">
        <v>8</v>
      </c>
      <c r="B277" t="s">
        <v>332</v>
      </c>
      <c r="C277">
        <v>91</v>
      </c>
      <c r="D277" t="s">
        <v>425</v>
      </c>
      <c r="E277" t="s">
        <v>26</v>
      </c>
      <c r="F277" t="s">
        <v>26</v>
      </c>
      <c r="G277" t="s">
        <v>80</v>
      </c>
      <c r="H277" t="s">
        <v>324</v>
      </c>
      <c r="I277" t="s">
        <v>133</v>
      </c>
      <c r="J277" t="s">
        <v>334</v>
      </c>
      <c r="K277" t="b">
        <v>0</v>
      </c>
      <c r="L277" t="s">
        <v>130</v>
      </c>
    </row>
    <row r="278" spans="1:12" x14ac:dyDescent="0.3">
      <c r="A278" t="s">
        <v>8</v>
      </c>
      <c r="B278" t="s">
        <v>332</v>
      </c>
      <c r="C278">
        <v>92</v>
      </c>
      <c r="D278" t="s">
        <v>426</v>
      </c>
      <c r="E278" t="s">
        <v>27</v>
      </c>
      <c r="F278" t="s">
        <v>27</v>
      </c>
      <c r="G278" t="s">
        <v>80</v>
      </c>
      <c r="H278" t="s">
        <v>324</v>
      </c>
      <c r="I278" t="s">
        <v>133</v>
      </c>
      <c r="J278" t="s">
        <v>334</v>
      </c>
      <c r="K278" t="b">
        <v>0</v>
      </c>
      <c r="L278" t="s">
        <v>130</v>
      </c>
    </row>
    <row r="279" spans="1:12" x14ac:dyDescent="0.3">
      <c r="A279" t="s">
        <v>8</v>
      </c>
      <c r="B279" t="s">
        <v>332</v>
      </c>
      <c r="C279">
        <v>93</v>
      </c>
      <c r="D279" t="s">
        <v>427</v>
      </c>
      <c r="E279" t="s">
        <v>47</v>
      </c>
      <c r="F279" t="s">
        <v>47</v>
      </c>
      <c r="G279" t="s">
        <v>80</v>
      </c>
      <c r="H279" t="s">
        <v>324</v>
      </c>
      <c r="I279" t="s">
        <v>133</v>
      </c>
      <c r="J279" t="s">
        <v>334</v>
      </c>
      <c r="K279" t="b">
        <v>0</v>
      </c>
      <c r="L279" t="s">
        <v>130</v>
      </c>
    </row>
    <row r="280" spans="1:12" x14ac:dyDescent="0.3">
      <c r="A280" t="s">
        <v>8</v>
      </c>
      <c r="B280" t="s">
        <v>332</v>
      </c>
      <c r="C280">
        <v>94</v>
      </c>
      <c r="D280" t="s">
        <v>428</v>
      </c>
      <c r="E280" t="s">
        <v>122</v>
      </c>
      <c r="F280" t="s">
        <v>122</v>
      </c>
      <c r="G280" t="s">
        <v>80</v>
      </c>
      <c r="H280" t="s">
        <v>324</v>
      </c>
      <c r="I280" t="s">
        <v>133</v>
      </c>
      <c r="J280" t="s">
        <v>334</v>
      </c>
      <c r="K280" t="b">
        <v>0</v>
      </c>
      <c r="L280" t="s">
        <v>130</v>
      </c>
    </row>
    <row r="281" spans="1:12" x14ac:dyDescent="0.3">
      <c r="A281" t="s">
        <v>8</v>
      </c>
      <c r="B281" t="s">
        <v>332</v>
      </c>
      <c r="C281">
        <v>95</v>
      </c>
      <c r="D281" t="s">
        <v>431</v>
      </c>
      <c r="E281" t="s">
        <v>24</v>
      </c>
      <c r="F281" t="s">
        <v>24</v>
      </c>
      <c r="G281" t="s">
        <v>80</v>
      </c>
      <c r="H281" t="s">
        <v>324</v>
      </c>
      <c r="I281" t="s">
        <v>133</v>
      </c>
      <c r="J281" t="s">
        <v>334</v>
      </c>
      <c r="K281" t="b">
        <v>0</v>
      </c>
      <c r="L281" t="s">
        <v>130</v>
      </c>
    </row>
    <row r="282" spans="1:12" hidden="1" x14ac:dyDescent="0.3"/>
    <row r="283" spans="1:12" hidden="1" x14ac:dyDescent="0.3"/>
    <row r="284" spans="1:12" hidden="1" x14ac:dyDescent="0.3"/>
    <row r="285" spans="1:12" hidden="1" x14ac:dyDescent="0.3"/>
    <row r="286" spans="1:12" hidden="1" x14ac:dyDescent="0.3"/>
    <row r="287" spans="1:12" hidden="1" x14ac:dyDescent="0.3"/>
    <row r="288" spans="1:12" hidden="1" x14ac:dyDescent="0.3"/>
    <row r="289" hidden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9E8D888A04C84DB4E72DF82BA42A55" ma:contentTypeVersion="14" ma:contentTypeDescription="Create a new document." ma:contentTypeScope="" ma:versionID="1dfe8d23067b498b9e6fe0b3c5fb7af6">
  <xsd:schema xmlns:xsd="http://www.w3.org/2001/XMLSchema" xmlns:xs="http://www.w3.org/2001/XMLSchema" xmlns:p="http://schemas.microsoft.com/office/2006/metadata/properties" xmlns:ns3="d9870a0a-a675-4936-b76e-8cd2a6577c36" xmlns:ns4="c8ca4ce2-d9bd-4ce9-99cd-105e6d24ae9c" targetNamespace="http://schemas.microsoft.com/office/2006/metadata/properties" ma:root="true" ma:fieldsID="e9321238548b22e7080a7bfb6d96d824" ns3:_="" ns4:_="">
    <xsd:import namespace="d9870a0a-a675-4936-b76e-8cd2a6577c36"/>
    <xsd:import namespace="c8ca4ce2-d9bd-4ce9-99cd-105e6d24ae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70a0a-a675-4936-b76e-8cd2a6577c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a4ce2-d9bd-4ce9-99cd-105e6d24a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3381352-E75F-4D99-9B4E-6B9759905B7E}">
  <ds:schemaRefs>
    <ds:schemaRef ds:uri="http://purl.org/dc/terms/"/>
    <ds:schemaRef ds:uri="d9870a0a-a675-4936-b76e-8cd2a6577c36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8ca4ce2-d9bd-4ce9-99cd-105e6d24ae9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CE244C6-8848-43D7-92F4-549866D58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8A2D2E-9BE0-4F5D-A8AC-ED53305B5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870a0a-a675-4936-b76e-8cd2a6577c36"/>
    <ds:schemaRef ds:uri="c8ca4ce2-d9bd-4ce9-99cd-105e6d24ae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76F536D-45C2-4ACC-A9BA-1CE631E18C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Semua Tingkatan</vt:lpstr>
      <vt:lpstr>Tingkatan 1</vt:lpstr>
      <vt:lpstr>Tingkatan 2</vt:lpstr>
      <vt:lpstr>Tingkatan 3</vt:lpstr>
      <vt:lpstr>Tingkatan 4</vt:lpstr>
      <vt:lpstr>Tingkatan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Hakim</dc:creator>
  <cp:lastModifiedBy>Danish Hakim</cp:lastModifiedBy>
  <dcterms:created xsi:type="dcterms:W3CDTF">2022-01-05T13:50:33Z</dcterms:created>
  <dcterms:modified xsi:type="dcterms:W3CDTF">2022-04-01T02:40:20Z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0x010100B69E8D888A04C84DB4E72DF82BA42A55</vt:lpwstr>
  </property>
</Properties>
</file>